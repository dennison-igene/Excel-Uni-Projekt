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igen\A_Lehre\BAS\BA1\Praktikum\X_WS25_SS26\"/>
    </mc:Choice>
  </mc:AlternateContent>
  <xr:revisionPtr revIDLastSave="0" documentId="13_ncr:1_{B23383A4-2DC7-4E48-BAAE-7531D733B31A}" xr6:coauthVersionLast="36" xr6:coauthVersionMax="36" xr10:uidLastSave="{00000000-0000-0000-0000-000000000000}"/>
  <bookViews>
    <workbookView xWindow="0" yWindow="0" windowWidth="19180" windowHeight="7935" activeTab="4" xr2:uid="{0CA650AC-2A30-4D11-B387-4AF0807F4F0F}"/>
  </bookViews>
  <sheets>
    <sheet name="TFT_FaktTab" sheetId="1" r:id="rId1"/>
    <sheet name="Dim1" sheetId="2" r:id="rId2"/>
    <sheet name="Dim2" sheetId="3" r:id="rId3"/>
    <sheet name="TFT_STAR_Joined" sheetId="4" r:id="rId4"/>
    <sheet name="Pivot" sheetId="5" r:id="rId5"/>
  </sheets>
  <calcPr calcId="191029"/>
  <pivotCaches>
    <pivotCache cacheId="13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4" l="1"/>
  <c r="N4" i="4" s="1"/>
  <c r="H4" i="4"/>
  <c r="I4" i="4" s="1"/>
  <c r="A4" i="4"/>
  <c r="B4" i="4"/>
  <c r="C4" i="4"/>
  <c r="D4" i="4"/>
  <c r="E4" i="4"/>
  <c r="F4" i="4"/>
  <c r="E2" i="4"/>
  <c r="F2" i="4"/>
  <c r="E3" i="4"/>
  <c r="F3" i="4"/>
  <c r="E5" i="4"/>
  <c r="E6" i="4"/>
  <c r="F6" i="4"/>
  <c r="F4" i="1"/>
  <c r="F6" i="1"/>
  <c r="F5" i="1"/>
  <c r="F5" i="4" s="1"/>
  <c r="F3" i="1"/>
  <c r="F2" i="1"/>
  <c r="M4" i="4" l="1"/>
  <c r="J4" i="4"/>
  <c r="A3" i="4"/>
  <c r="B3" i="4"/>
  <c r="H3" i="4" s="1"/>
  <c r="C3" i="4"/>
  <c r="L3" i="4" s="1"/>
  <c r="N3" i="4" s="1"/>
  <c r="D3" i="4"/>
  <c r="A5" i="4"/>
  <c r="B5" i="4"/>
  <c r="H5" i="4" s="1"/>
  <c r="C5" i="4"/>
  <c r="L5" i="4" s="1"/>
  <c r="D5" i="4"/>
  <c r="A6" i="4"/>
  <c r="B6" i="4"/>
  <c r="H6" i="4" s="1"/>
  <c r="J6" i="4" s="1"/>
  <c r="C6" i="4"/>
  <c r="L6" i="4" s="1"/>
  <c r="D6" i="4"/>
  <c r="B2" i="4"/>
  <c r="H2" i="4" s="1"/>
  <c r="C2" i="4"/>
  <c r="L2" i="4" s="1"/>
  <c r="D2" i="4"/>
  <c r="A2" i="4"/>
  <c r="B3" i="2"/>
  <c r="C3" i="2"/>
  <c r="B4" i="2"/>
  <c r="C4" i="2"/>
  <c r="B5" i="2"/>
  <c r="C5" i="2"/>
  <c r="C2" i="2"/>
  <c r="B2" i="2"/>
  <c r="I3" i="4" l="1"/>
  <c r="J3" i="4"/>
  <c r="I2" i="4"/>
  <c r="J2" i="4"/>
  <c r="J5" i="4"/>
  <c r="I5" i="4"/>
  <c r="N2" i="4"/>
  <c r="M2" i="4"/>
  <c r="N5" i="4"/>
  <c r="M5" i="4"/>
  <c r="N6" i="4"/>
  <c r="M6" i="4"/>
  <c r="M3" i="4"/>
  <c r="I6" i="4"/>
</calcChain>
</file>

<file path=xl/sharedStrings.xml><?xml version="1.0" encoding="utf-8"?>
<sst xmlns="http://schemas.openxmlformats.org/spreadsheetml/2006/main" count="40" uniqueCount="24">
  <si>
    <t>PK_SK</t>
  </si>
  <si>
    <t>FK_dim1</t>
  </si>
  <si>
    <t>FK_dim2</t>
  </si>
  <si>
    <t>Fakt1</t>
  </si>
  <si>
    <t>Fakt2</t>
  </si>
  <si>
    <t>PK_dim1</t>
  </si>
  <si>
    <t>Dim1attribute1</t>
  </si>
  <si>
    <t>Dim1attribute2</t>
  </si>
  <si>
    <t>Join1</t>
  </si>
  <si>
    <t>Join2</t>
  </si>
  <si>
    <t xml:space="preserve">rot </t>
  </si>
  <si>
    <t>grün</t>
  </si>
  <si>
    <t>blau</t>
  </si>
  <si>
    <t>ebike</t>
  </si>
  <si>
    <t>classic</t>
  </si>
  <si>
    <t>PK_dim2</t>
  </si>
  <si>
    <t>Dim2attribute1</t>
  </si>
  <si>
    <t>Dim2attribute2</t>
  </si>
  <si>
    <t>Zeilenbeschriftungen</t>
  </si>
  <si>
    <t>Gesamtergebnis</t>
  </si>
  <si>
    <t>Summe von Fakt1</t>
  </si>
  <si>
    <t>FaktALL</t>
  </si>
  <si>
    <t>Summe von PercentageFakt1</t>
  </si>
  <si>
    <t>Summe von FaktALL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</si>
</sst>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14" fontId="2" fillId="3" borderId="1" xfId="0" applyNumberFormat="1" applyFont="1" applyFill="1" applyBorder="1"/>
    <xf numFmtId="14" fontId="1" fillId="3" borderId="1" xfId="0" applyNumberFormat="1" applyFont="1" applyFill="1" applyBorder="1"/>
    <xf numFmtId="0" fontId="2" fillId="4" borderId="1" xfId="0" applyFont="1" applyFill="1" applyBorder="1"/>
    <xf numFmtId="0" fontId="1" fillId="4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</cellXfs>
  <cellStyles count="1">
    <cellStyle name="Standard" xfId="0" builtinId="0"/>
  </cellStyles>
  <dxfs count="9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13.863397569447" createdVersion="6" refreshedVersion="6" minRefreshableVersion="3" recordCount="5" xr:uid="{42E249C5-DA8E-40F2-ACB5-08DC9AC73CC5}">
  <cacheSource type="worksheet">
    <worksheetSource ref="D1:N6" sheet="TFT_STAR_Joined"/>
  </cacheSource>
  <cacheFields count="12">
    <cacheField name="Fakt1" numFmtId="0">
      <sharedItems containsSemiMixedTypes="0" containsString="0" containsNumber="1" containsInteger="1" minValue="0" maxValue="1"/>
    </cacheField>
    <cacheField name="Fakt2" numFmtId="0">
      <sharedItems containsSemiMixedTypes="0" containsString="0" containsNumber="1" containsInteger="1" minValue="0" maxValue="1"/>
    </cacheField>
    <cacheField name="FaktALL" numFmtId="0">
      <sharedItems containsSemiMixedTypes="0" containsString="0" containsNumber="1" containsInteger="1" minValue="1" maxValue="2"/>
    </cacheField>
    <cacheField name="Join1" numFmtId="0">
      <sharedItems containsNonDate="0" containsString="0" containsBlank="1"/>
    </cacheField>
    <cacheField name="PK_dim1" numFmtId="14">
      <sharedItems containsSemiMixedTypes="0" containsNonDate="0" containsDate="1" containsString="0" minDate="2025-01-01T00:00:00" maxDate="2025-01-04T00:00:00"/>
    </cacheField>
    <cacheField name="Dim1attribute1" numFmtId="0">
      <sharedItems containsSemiMixedTypes="0" containsString="0" containsNumber="1" containsInteger="1" minValue="4" maxValue="6"/>
    </cacheField>
    <cacheField name="Dim1attribute2" numFmtId="0">
      <sharedItems containsSemiMixedTypes="0" containsString="0" containsNumber="1" containsInteger="1" minValue="1" maxValue="1"/>
    </cacheField>
    <cacheField name="Join2" numFmtId="0">
      <sharedItems containsNonDate="0" containsString="0" containsBlank="1"/>
    </cacheField>
    <cacheField name="PK_dim2" numFmtId="0">
      <sharedItems containsSemiMixedTypes="0" containsString="0" containsNumber="1" containsInteger="1" minValue="123" maxValue="321"/>
    </cacheField>
    <cacheField name="Dim2attribute1" numFmtId="0">
      <sharedItems count="3">
        <s v="grün"/>
        <s v="blau"/>
        <s v="rot "/>
      </sharedItems>
    </cacheField>
    <cacheField name="Dim2attribute2" numFmtId="0">
      <sharedItems/>
    </cacheField>
    <cacheField name="PercentageFakt1" numFmtId="0" formula="Fakt1 /FaktALL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n v="0"/>
    <n v="1"/>
    <m/>
    <d v="2025-01-01T00:00:00"/>
    <n v="4"/>
    <n v="1"/>
    <m/>
    <n v="123"/>
    <x v="0"/>
    <s v="ebike"/>
  </r>
  <r>
    <n v="1"/>
    <n v="0"/>
    <n v="1"/>
    <m/>
    <d v="2025-01-01T00:00:00"/>
    <n v="4"/>
    <n v="1"/>
    <m/>
    <n v="321"/>
    <x v="1"/>
    <s v="classic"/>
  </r>
  <r>
    <n v="1"/>
    <n v="0"/>
    <n v="1"/>
    <m/>
    <d v="2025-01-02T00:00:00"/>
    <n v="5"/>
    <n v="1"/>
    <m/>
    <n v="234"/>
    <x v="2"/>
    <s v="classic"/>
  </r>
  <r>
    <n v="1"/>
    <n v="1"/>
    <n v="2"/>
    <m/>
    <d v="2025-01-03T00:00:00"/>
    <n v="6"/>
    <n v="1"/>
    <m/>
    <n v="321"/>
    <x v="1"/>
    <s v="classic"/>
  </r>
  <r>
    <n v="0"/>
    <n v="1"/>
    <n v="1"/>
    <m/>
    <d v="2025-01-03T00:00:00"/>
    <n v="6"/>
    <n v="1"/>
    <m/>
    <n v="123"/>
    <x v="0"/>
    <s v="ebik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41E3A-520F-4E7C-BDDD-09CB1AF7994F}" name="PivotTable1" cacheId="13" applyNumberFormats="0" applyBorderFormats="0" applyFontFormats="0" applyPatternFormats="0" applyAlignmentFormats="0" applyWidthHeightFormats="1" dataCaption="Werte" updatedVersion="6" minRefreshableVersion="3" useAutoFormatting="1" itemPrintTitles="1" createdVersion="6" indent="0" outline="1" outlineData="1" multipleFieldFilters="0">
  <location ref="A3:D7" firstHeaderRow="0" firstDataRow="1" firstDataCol="1"/>
  <pivotFields count="12">
    <pivotField dataField="1"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dragToRow="0" dragToCol="0" dragToPage="0" showAll="0" defaultSubtota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me von PercentageFakt1" fld="11" baseField="0" baseItem="0" numFmtId="9"/>
    <dataField name="Summe von Fakt1" fld="0" baseField="0" baseItem="0"/>
    <dataField name="Summe von FaktALL" fld="2" baseField="0" baseItem="0"/>
  </dataFields>
  <formats count="1"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07F7-32DE-4421-BE7A-688631F056A5}">
  <dimension ref="A1:F6"/>
  <sheetViews>
    <sheetView workbookViewId="0">
      <selection activeCell="F2" sqref="F2"/>
    </sheetView>
  </sheetViews>
  <sheetFormatPr baseColWidth="10" defaultRowHeight="14.75" x14ac:dyDescent="0.75"/>
  <sheetData>
    <row r="1" spans="1:6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</row>
    <row r="2" spans="1:6" x14ac:dyDescent="0.75">
      <c r="A2" s="1">
        <v>1</v>
      </c>
      <c r="B2" s="3">
        <v>45658</v>
      </c>
      <c r="C2" s="1">
        <v>123</v>
      </c>
      <c r="D2" s="1">
        <v>1</v>
      </c>
      <c r="E2" s="1"/>
      <c r="F2" s="1">
        <f>SUM(D2:E2)</f>
        <v>1</v>
      </c>
    </row>
    <row r="3" spans="1:6" x14ac:dyDescent="0.75">
      <c r="A3" s="1">
        <v>2</v>
      </c>
      <c r="B3" s="3">
        <v>45658</v>
      </c>
      <c r="C3" s="1">
        <v>321</v>
      </c>
      <c r="D3" s="1">
        <v>1</v>
      </c>
      <c r="E3" s="1"/>
      <c r="F3" s="1">
        <f>SUM(D3:E3)</f>
        <v>1</v>
      </c>
    </row>
    <row r="4" spans="1:6" x14ac:dyDescent="0.75">
      <c r="A4" s="1">
        <v>3</v>
      </c>
      <c r="B4" s="3">
        <v>45659</v>
      </c>
      <c r="C4" s="1">
        <v>234</v>
      </c>
      <c r="D4" s="1">
        <v>1</v>
      </c>
      <c r="E4" s="1"/>
      <c r="F4" s="1">
        <f>SUM(D4:E4)</f>
        <v>1</v>
      </c>
    </row>
    <row r="5" spans="1:6" x14ac:dyDescent="0.75">
      <c r="A5" s="1">
        <v>4</v>
      </c>
      <c r="B5" s="3">
        <v>45660</v>
      </c>
      <c r="C5" s="1">
        <v>321</v>
      </c>
      <c r="D5" s="1">
        <v>1</v>
      </c>
      <c r="E5" s="1">
        <v>1</v>
      </c>
      <c r="F5" s="1">
        <f>SUM(D5:E5)</f>
        <v>2</v>
      </c>
    </row>
    <row r="6" spans="1:6" x14ac:dyDescent="0.75">
      <c r="A6" s="1">
        <v>5</v>
      </c>
      <c r="B6" s="3">
        <v>45660</v>
      </c>
      <c r="C6" s="1">
        <v>123</v>
      </c>
      <c r="D6" s="1"/>
      <c r="E6" s="1">
        <v>1</v>
      </c>
      <c r="F6" s="1">
        <f>SUM(D6:E6)</f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5678-F542-45E5-92A4-85735BA58944}">
  <dimension ref="A1:C5"/>
  <sheetViews>
    <sheetView workbookViewId="0">
      <selection activeCell="C3" sqref="C3"/>
    </sheetView>
  </sheetViews>
  <sheetFormatPr baseColWidth="10" defaultRowHeight="14.75" x14ac:dyDescent="0.75"/>
  <sheetData>
    <row r="1" spans="1:3" x14ac:dyDescent="0.75">
      <c r="A1" s="1" t="s">
        <v>5</v>
      </c>
      <c r="B1" s="1" t="s">
        <v>6</v>
      </c>
      <c r="C1" s="1" t="s">
        <v>7</v>
      </c>
    </row>
    <row r="2" spans="1:3" x14ac:dyDescent="0.75">
      <c r="A2" s="3">
        <v>45658</v>
      </c>
      <c r="B2" s="1">
        <f>WEEKDAY(A2)</f>
        <v>4</v>
      </c>
      <c r="C2" s="1">
        <f>MONTH(A2)</f>
        <v>1</v>
      </c>
    </row>
    <row r="3" spans="1:3" x14ac:dyDescent="0.75">
      <c r="A3" s="3">
        <v>45659</v>
      </c>
      <c r="B3" s="1">
        <f t="shared" ref="B3:B5" si="0">WEEKDAY(A3)</f>
        <v>5</v>
      </c>
      <c r="C3" s="1">
        <f t="shared" ref="C3:C5" si="1">MONTH(A3)</f>
        <v>1</v>
      </c>
    </row>
    <row r="4" spans="1:3" x14ac:dyDescent="0.75">
      <c r="A4" s="3">
        <v>45660</v>
      </c>
      <c r="B4" s="1">
        <f t="shared" si="0"/>
        <v>6</v>
      </c>
      <c r="C4" s="1">
        <f t="shared" si="1"/>
        <v>1</v>
      </c>
    </row>
    <row r="5" spans="1:3" x14ac:dyDescent="0.75">
      <c r="A5" s="3">
        <v>45661</v>
      </c>
      <c r="B5" s="1">
        <f t="shared" si="0"/>
        <v>7</v>
      </c>
      <c r="C5" s="1">
        <f t="shared" si="1"/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32E2-E7C1-4583-ADCE-E6EE0F66DCB5}">
  <dimension ref="A1:C4"/>
  <sheetViews>
    <sheetView workbookViewId="0">
      <selection activeCell="C5" sqref="C5"/>
    </sheetView>
  </sheetViews>
  <sheetFormatPr baseColWidth="10" defaultRowHeight="14.75" x14ac:dyDescent="0.75"/>
  <sheetData>
    <row r="1" spans="1:3" x14ac:dyDescent="0.75">
      <c r="A1" t="s">
        <v>5</v>
      </c>
      <c r="B1" t="s">
        <v>6</v>
      </c>
      <c r="C1" t="s">
        <v>7</v>
      </c>
    </row>
    <row r="2" spans="1:3" x14ac:dyDescent="0.75">
      <c r="A2">
        <v>123</v>
      </c>
      <c r="B2" t="s">
        <v>11</v>
      </c>
      <c r="C2" t="s">
        <v>13</v>
      </c>
    </row>
    <row r="3" spans="1:3" x14ac:dyDescent="0.75">
      <c r="A3">
        <v>234</v>
      </c>
      <c r="B3" t="s">
        <v>10</v>
      </c>
      <c r="C3" t="s">
        <v>14</v>
      </c>
    </row>
    <row r="4" spans="1:3" x14ac:dyDescent="0.75">
      <c r="A4">
        <v>321</v>
      </c>
      <c r="B4" t="s">
        <v>12</v>
      </c>
      <c r="C4" t="s">
        <v>14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BE8E-69D9-4F8E-8E2F-DBAFAC665E27}">
  <dimension ref="A1:N20"/>
  <sheetViews>
    <sheetView workbookViewId="0">
      <selection activeCell="F1" sqref="F1"/>
    </sheetView>
  </sheetViews>
  <sheetFormatPr baseColWidth="10" defaultRowHeight="14.75" x14ac:dyDescent="0.75"/>
  <cols>
    <col min="1" max="1" width="10.90625" style="5"/>
    <col min="7" max="7" width="4.86328125" bestFit="1" customWidth="1"/>
    <col min="8" max="8" width="10.90625" style="5"/>
    <col min="11" max="11" width="4.86328125" bestFit="1" customWidth="1"/>
    <col min="12" max="12" width="10.90625" style="5"/>
  </cols>
  <sheetData>
    <row r="1" spans="1:14" x14ac:dyDescent="0.75">
      <c r="A1" s="4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1" t="s">
        <v>21</v>
      </c>
      <c r="G1" s="2" t="s">
        <v>8</v>
      </c>
      <c r="H1" s="4" t="s">
        <v>5</v>
      </c>
      <c r="I1" s="1" t="s">
        <v>6</v>
      </c>
      <c r="J1" s="1" t="s">
        <v>7</v>
      </c>
      <c r="K1" s="2" t="s">
        <v>9</v>
      </c>
      <c r="L1" s="4" t="s">
        <v>15</v>
      </c>
      <c r="M1" s="1" t="s">
        <v>16</v>
      </c>
      <c r="N1" s="1" t="s">
        <v>17</v>
      </c>
    </row>
    <row r="2" spans="1:14" x14ac:dyDescent="0.75">
      <c r="A2" s="4">
        <f>TFT_FaktTab!A2</f>
        <v>1</v>
      </c>
      <c r="B2" s="7">
        <f>TFT_FaktTab!B2</f>
        <v>45658</v>
      </c>
      <c r="C2" s="9">
        <f>TFT_FaktTab!C2</f>
        <v>123</v>
      </c>
      <c r="D2" s="1">
        <f>TFT_FaktTab!D2</f>
        <v>1</v>
      </c>
      <c r="E2" s="1">
        <f>TFT_FaktTab!E2</f>
        <v>0</v>
      </c>
      <c r="F2" s="1">
        <f>TFT_FaktTab!F2</f>
        <v>1</v>
      </c>
      <c r="G2" s="2"/>
      <c r="H2" s="8">
        <f>B2</f>
        <v>45658</v>
      </c>
      <c r="I2" s="1">
        <f>VLOOKUP(H2,'Dim1'!$A$2:$C$5,2)</f>
        <v>4</v>
      </c>
      <c r="J2" s="1">
        <f>VLOOKUP(H2,'Dim1'!$A$2:$C$5,3)</f>
        <v>1</v>
      </c>
      <c r="K2" s="2"/>
      <c r="L2" s="10">
        <f>C2</f>
        <v>123</v>
      </c>
      <c r="M2" s="1" t="str">
        <f>VLOOKUP(L2,'Dim2'!$A$2:$C$5,2)</f>
        <v>grün</v>
      </c>
      <c r="N2" s="1" t="str">
        <f>VLOOKUP(L2,'Dim2'!$A$2:$C$5,3)</f>
        <v>ebike</v>
      </c>
    </row>
    <row r="3" spans="1:14" x14ac:dyDescent="0.75">
      <c r="A3" s="4">
        <f>TFT_FaktTab!A3</f>
        <v>2</v>
      </c>
      <c r="B3" s="7">
        <f>TFT_FaktTab!B3</f>
        <v>45658</v>
      </c>
      <c r="C3" s="9">
        <f>TFT_FaktTab!C3</f>
        <v>321</v>
      </c>
      <c r="D3" s="1">
        <f>TFT_FaktTab!D3</f>
        <v>1</v>
      </c>
      <c r="E3" s="1">
        <f>TFT_FaktTab!E3</f>
        <v>0</v>
      </c>
      <c r="F3" s="1">
        <f>TFT_FaktTab!F3</f>
        <v>1</v>
      </c>
      <c r="G3" s="2"/>
      <c r="H3" s="8">
        <f t="shared" ref="H3:H6" si="0">B3</f>
        <v>45658</v>
      </c>
      <c r="I3" s="1">
        <f>VLOOKUP(H3,'Dim1'!$A$2:$C$5,2)</f>
        <v>4</v>
      </c>
      <c r="J3" s="1">
        <f>VLOOKUP(H3,'Dim1'!$A$2:$C$5,3)</f>
        <v>1</v>
      </c>
      <c r="K3" s="2"/>
      <c r="L3" s="10">
        <f t="shared" ref="L3:L6" si="1">C3</f>
        <v>321</v>
      </c>
      <c r="M3" s="1" t="str">
        <f>VLOOKUP(L3,'Dim2'!$A$2:$C$5,2)</f>
        <v>blau</v>
      </c>
      <c r="N3" s="1" t="str">
        <f>VLOOKUP(L3,'Dim2'!$A$2:$C$5,3)</f>
        <v>classic</v>
      </c>
    </row>
    <row r="4" spans="1:14" x14ac:dyDescent="0.75">
      <c r="A4" s="4">
        <f>TFT_FaktTab!A4</f>
        <v>3</v>
      </c>
      <c r="B4" s="7">
        <f>TFT_FaktTab!B4</f>
        <v>45659</v>
      </c>
      <c r="C4" s="9">
        <f>TFT_FaktTab!C4</f>
        <v>234</v>
      </c>
      <c r="D4" s="1">
        <f>TFT_FaktTab!D4</f>
        <v>1</v>
      </c>
      <c r="E4" s="1">
        <f>TFT_FaktTab!E4</f>
        <v>0</v>
      </c>
      <c r="F4" s="1">
        <f>TFT_FaktTab!F4</f>
        <v>1</v>
      </c>
      <c r="G4" s="2"/>
      <c r="H4" s="8">
        <f t="shared" ref="H4" si="2">B4</f>
        <v>45659</v>
      </c>
      <c r="I4" s="1">
        <f>VLOOKUP(H4,'Dim1'!$A$2:$C$5,2)</f>
        <v>5</v>
      </c>
      <c r="J4" s="1">
        <f>VLOOKUP(H4,'Dim1'!$A$2:$C$5,3)</f>
        <v>1</v>
      </c>
      <c r="K4" s="2"/>
      <c r="L4" s="10">
        <f t="shared" ref="L4" si="3">C4</f>
        <v>234</v>
      </c>
      <c r="M4" s="1" t="str">
        <f>VLOOKUP(L4,'Dim2'!$A$2:$C$5,2)</f>
        <v xml:space="preserve">rot </v>
      </c>
      <c r="N4" s="1" t="str">
        <f>VLOOKUP(L4,'Dim2'!$A$2:$C$5,3)</f>
        <v>classic</v>
      </c>
    </row>
    <row r="5" spans="1:14" x14ac:dyDescent="0.75">
      <c r="A5" s="4">
        <f>TFT_FaktTab!A5</f>
        <v>4</v>
      </c>
      <c r="B5" s="7">
        <f>TFT_FaktTab!B5</f>
        <v>45660</v>
      </c>
      <c r="C5" s="9">
        <f>TFT_FaktTab!C5</f>
        <v>321</v>
      </c>
      <c r="D5" s="1">
        <f>TFT_FaktTab!D5</f>
        <v>1</v>
      </c>
      <c r="E5" s="1">
        <f>TFT_FaktTab!E5</f>
        <v>1</v>
      </c>
      <c r="F5" s="1">
        <f>TFT_FaktTab!F5</f>
        <v>2</v>
      </c>
      <c r="G5" s="2"/>
      <c r="H5" s="8">
        <f t="shared" si="0"/>
        <v>45660</v>
      </c>
      <c r="I5" s="1">
        <f>VLOOKUP(H5,'Dim1'!$A$2:$C$5,2)</f>
        <v>6</v>
      </c>
      <c r="J5" s="1">
        <f>VLOOKUP(H5,'Dim1'!$A$2:$C$5,3)</f>
        <v>1</v>
      </c>
      <c r="K5" s="2"/>
      <c r="L5" s="10">
        <f t="shared" si="1"/>
        <v>321</v>
      </c>
      <c r="M5" s="1" t="str">
        <f>VLOOKUP(L5,'Dim2'!$A$2:$C$5,2)</f>
        <v>blau</v>
      </c>
      <c r="N5" s="1" t="str">
        <f>VLOOKUP(L5,'Dim2'!$A$2:$C$5,3)</f>
        <v>classic</v>
      </c>
    </row>
    <row r="6" spans="1:14" x14ac:dyDescent="0.75">
      <c r="A6" s="4">
        <f>TFT_FaktTab!A6</f>
        <v>5</v>
      </c>
      <c r="B6" s="7">
        <f>TFT_FaktTab!B6</f>
        <v>45660</v>
      </c>
      <c r="C6" s="9">
        <f>TFT_FaktTab!C6</f>
        <v>123</v>
      </c>
      <c r="D6" s="1">
        <f>TFT_FaktTab!D6</f>
        <v>0</v>
      </c>
      <c r="E6" s="1">
        <f>TFT_FaktTab!E6</f>
        <v>1</v>
      </c>
      <c r="F6" s="1">
        <f>TFT_FaktTab!F6</f>
        <v>1</v>
      </c>
      <c r="G6" s="2"/>
      <c r="H6" s="8">
        <f t="shared" si="0"/>
        <v>45660</v>
      </c>
      <c r="I6" s="1">
        <f>VLOOKUP(H6,'Dim1'!$A$2:$C$5,2)</f>
        <v>6</v>
      </c>
      <c r="J6" s="1">
        <f>VLOOKUP(H6,'Dim1'!$A$2:$C$5,3)</f>
        <v>1</v>
      </c>
      <c r="K6" s="2"/>
      <c r="L6" s="10">
        <f t="shared" si="1"/>
        <v>123</v>
      </c>
      <c r="M6" s="1" t="str">
        <f>VLOOKUP(L6,'Dim2'!$A$2:$C$5,2)</f>
        <v>grün</v>
      </c>
      <c r="N6" s="1" t="str">
        <f>VLOOKUP(L6,'Dim2'!$A$2:$C$5,3)</f>
        <v>ebike</v>
      </c>
    </row>
    <row r="7" spans="1:14" x14ac:dyDescent="0.75">
      <c r="A7" s="4"/>
      <c r="B7" s="1"/>
      <c r="C7" s="1"/>
      <c r="D7" s="1"/>
      <c r="E7" s="1"/>
      <c r="F7" s="1"/>
      <c r="G7" s="2"/>
      <c r="H7" s="4"/>
      <c r="I7" s="1"/>
      <c r="J7" s="1"/>
      <c r="K7" s="2"/>
      <c r="L7" s="4"/>
      <c r="M7" s="1"/>
      <c r="N7" s="1"/>
    </row>
    <row r="8" spans="1:14" x14ac:dyDescent="0.75">
      <c r="A8" s="4"/>
      <c r="B8" s="1"/>
      <c r="C8" s="1"/>
      <c r="D8" s="1"/>
      <c r="E8" s="1"/>
      <c r="F8" s="1"/>
      <c r="G8" s="2"/>
      <c r="H8" s="4"/>
      <c r="I8" s="1"/>
      <c r="J8" s="1"/>
      <c r="K8" s="2"/>
      <c r="L8" s="4"/>
      <c r="M8" s="1"/>
      <c r="N8" s="1"/>
    </row>
    <row r="9" spans="1:14" x14ac:dyDescent="0.75">
      <c r="A9" s="4"/>
      <c r="B9" s="1"/>
      <c r="C9" s="1"/>
      <c r="D9" s="1"/>
      <c r="E9" s="1"/>
      <c r="F9" s="1"/>
      <c r="G9" s="2"/>
      <c r="H9" s="4"/>
      <c r="I9" s="1"/>
      <c r="J9" s="1"/>
      <c r="K9" s="2"/>
      <c r="L9" s="4"/>
      <c r="M9" s="1"/>
      <c r="N9" s="1"/>
    </row>
    <row r="10" spans="1:14" x14ac:dyDescent="0.75">
      <c r="A10" s="4"/>
      <c r="B10" s="1"/>
      <c r="C10" s="1"/>
      <c r="D10" s="1"/>
      <c r="E10" s="1"/>
      <c r="F10" s="1"/>
      <c r="G10" s="2"/>
      <c r="H10" s="4"/>
      <c r="I10" s="1"/>
      <c r="J10" s="1"/>
      <c r="K10" s="2"/>
      <c r="L10" s="4"/>
      <c r="M10" s="1"/>
      <c r="N10" s="1"/>
    </row>
    <row r="11" spans="1:14" x14ac:dyDescent="0.75">
      <c r="A11" s="4"/>
      <c r="B11" s="1"/>
      <c r="C11" s="1"/>
      <c r="D11" s="1"/>
      <c r="E11" s="1"/>
      <c r="F11" s="1"/>
      <c r="G11" s="2"/>
      <c r="H11" s="4"/>
      <c r="I11" s="1"/>
      <c r="J11" s="1"/>
      <c r="K11" s="2"/>
      <c r="L11" s="4"/>
      <c r="M11" s="1"/>
      <c r="N11" s="1"/>
    </row>
    <row r="12" spans="1:14" x14ac:dyDescent="0.75">
      <c r="A12" s="4"/>
      <c r="B12" s="1"/>
      <c r="C12" s="1"/>
      <c r="D12" s="1"/>
      <c r="E12" s="1"/>
      <c r="F12" s="1"/>
      <c r="G12" s="2"/>
      <c r="H12" s="4"/>
      <c r="I12" s="1"/>
      <c r="J12" s="1"/>
      <c r="K12" s="2"/>
      <c r="L12" s="4"/>
      <c r="M12" s="1"/>
      <c r="N12" s="1"/>
    </row>
    <row r="13" spans="1:14" x14ac:dyDescent="0.75">
      <c r="A13" s="4"/>
      <c r="B13" s="1"/>
      <c r="C13" s="1"/>
      <c r="D13" s="1"/>
      <c r="E13" s="1"/>
      <c r="F13" s="1"/>
      <c r="G13" s="2"/>
      <c r="H13" s="4"/>
      <c r="I13" s="1"/>
      <c r="J13" s="1"/>
      <c r="K13" s="2"/>
      <c r="L13" s="4"/>
      <c r="M13" s="1"/>
      <c r="N13" s="1"/>
    </row>
    <row r="14" spans="1:14" x14ac:dyDescent="0.75">
      <c r="A14" s="4"/>
      <c r="B14" s="1"/>
      <c r="C14" s="1"/>
      <c r="D14" s="1"/>
      <c r="E14" s="1"/>
      <c r="F14" s="1"/>
      <c r="G14" s="2"/>
      <c r="H14" s="4"/>
      <c r="I14" s="1"/>
      <c r="J14" s="1"/>
      <c r="K14" s="2"/>
      <c r="L14" s="4"/>
      <c r="M14" s="1"/>
      <c r="N14" s="1"/>
    </row>
    <row r="15" spans="1:14" x14ac:dyDescent="0.75">
      <c r="A15" s="4"/>
      <c r="B15" s="1"/>
      <c r="C15" s="1"/>
      <c r="D15" s="1"/>
      <c r="E15" s="1"/>
      <c r="F15" s="1"/>
      <c r="G15" s="2"/>
      <c r="H15" s="4"/>
      <c r="I15" s="1"/>
      <c r="J15" s="1"/>
      <c r="K15" s="2"/>
      <c r="L15" s="4"/>
      <c r="M15" s="1"/>
      <c r="N15" s="1"/>
    </row>
    <row r="16" spans="1:14" x14ac:dyDescent="0.75">
      <c r="A16" s="4"/>
      <c r="B16" s="1"/>
      <c r="C16" s="1"/>
      <c r="D16" s="1"/>
      <c r="E16" s="1"/>
      <c r="F16" s="1"/>
      <c r="G16" s="2"/>
      <c r="H16" s="4"/>
      <c r="I16" s="1"/>
      <c r="J16" s="1"/>
      <c r="K16" s="2"/>
      <c r="L16" s="4"/>
      <c r="M16" s="1"/>
      <c r="N16" s="1"/>
    </row>
    <row r="17" spans="1:14" x14ac:dyDescent="0.75">
      <c r="A17" s="4"/>
      <c r="B17" s="1"/>
      <c r="C17" s="1"/>
      <c r="D17" s="1"/>
      <c r="E17" s="1"/>
      <c r="F17" s="1"/>
      <c r="G17" s="2"/>
      <c r="H17" s="4"/>
      <c r="I17" s="1"/>
      <c r="J17" s="1"/>
      <c r="K17" s="2"/>
      <c r="L17" s="4"/>
      <c r="M17" s="1"/>
      <c r="N17" s="1"/>
    </row>
    <row r="18" spans="1:14" x14ac:dyDescent="0.75">
      <c r="A18" s="4"/>
      <c r="B18" s="1"/>
      <c r="C18" s="1"/>
      <c r="D18" s="1"/>
      <c r="E18" s="1"/>
      <c r="F18" s="1"/>
      <c r="G18" s="2"/>
      <c r="H18" s="4"/>
      <c r="I18" s="1"/>
      <c r="J18" s="1"/>
      <c r="K18" s="2"/>
      <c r="L18" s="4"/>
      <c r="M18" s="1"/>
      <c r="N18" s="1"/>
    </row>
    <row r="19" spans="1:14" x14ac:dyDescent="0.75">
      <c r="A19" s="4"/>
      <c r="B19" s="1"/>
      <c r="C19" s="1"/>
      <c r="D19" s="1"/>
      <c r="E19" s="1"/>
      <c r="F19" s="1"/>
      <c r="G19" s="2"/>
      <c r="H19" s="4"/>
      <c r="I19" s="1"/>
      <c r="J19" s="1"/>
      <c r="K19" s="2"/>
      <c r="L19" s="4"/>
      <c r="M19" s="1"/>
      <c r="N19" s="1"/>
    </row>
    <row r="20" spans="1:14" x14ac:dyDescent="0.75">
      <c r="A20" s="4"/>
      <c r="B20" s="1"/>
      <c r="C20" s="1"/>
      <c r="D20" s="1"/>
      <c r="E20" s="1"/>
      <c r="F20" s="1"/>
      <c r="G20" s="2"/>
      <c r="H20" s="4"/>
      <c r="I20" s="1"/>
      <c r="J20" s="1"/>
      <c r="K20" s="2"/>
      <c r="L20" s="4"/>
      <c r="M20" s="1"/>
      <c r="N20" s="1"/>
    </row>
  </sheetData>
  <pageMargins left="0.7" right="0.7" top="0.78740157499999996" bottom="0.78740157499999996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FA2BD-2FA9-46F2-B770-B3093DB0D561}">
  <dimension ref="A3:D7"/>
  <sheetViews>
    <sheetView tabSelected="1" workbookViewId="0">
      <selection activeCell="B6" sqref="B6"/>
    </sheetView>
  </sheetViews>
  <sheetFormatPr baseColWidth="10" defaultRowHeight="14.75" x14ac:dyDescent="0.75"/>
  <cols>
    <col min="1" max="1" width="20.6328125" bestFit="1" customWidth="1"/>
    <col min="2" max="2" width="25" bestFit="1" customWidth="1"/>
    <col min="3" max="3" width="15.58984375" bestFit="1" customWidth="1"/>
    <col min="4" max="4" width="17.58984375" bestFit="1" customWidth="1"/>
  </cols>
  <sheetData>
    <row r="3" spans="1:4" x14ac:dyDescent="0.75">
      <c r="A3" s="11" t="s">
        <v>18</v>
      </c>
      <c r="B3" t="s">
        <v>22</v>
      </c>
      <c r="C3" t="s">
        <v>20</v>
      </c>
      <c r="D3" t="s">
        <v>23</v>
      </c>
    </row>
    <row r="4" spans="1:4" x14ac:dyDescent="0.75">
      <c r="A4" s="12" t="s">
        <v>12</v>
      </c>
      <c r="B4" s="14">
        <v>0.66666666666666663</v>
      </c>
      <c r="C4" s="13">
        <v>2</v>
      </c>
      <c r="D4" s="13">
        <v>3</v>
      </c>
    </row>
    <row r="5" spans="1:4" x14ac:dyDescent="0.75">
      <c r="A5" s="12" t="s">
        <v>11</v>
      </c>
      <c r="B5" s="14">
        <v>0.5</v>
      </c>
      <c r="C5" s="13">
        <v>1</v>
      </c>
      <c r="D5" s="13">
        <v>2</v>
      </c>
    </row>
    <row r="6" spans="1:4" x14ac:dyDescent="0.75">
      <c r="A6" s="12" t="s">
        <v>10</v>
      </c>
      <c r="B6" s="14">
        <v>1</v>
      </c>
      <c r="C6" s="13">
        <v>1</v>
      </c>
      <c r="D6" s="13">
        <v>1</v>
      </c>
    </row>
    <row r="7" spans="1:4" x14ac:dyDescent="0.75">
      <c r="A7" s="12" t="s">
        <v>19</v>
      </c>
      <c r="B7" s="14">
        <v>0.66666666666666663</v>
      </c>
      <c r="C7" s="13">
        <v>4</v>
      </c>
      <c r="D7" s="13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TFT_FaktTab</vt:lpstr>
      <vt:lpstr>Dim1</vt:lpstr>
      <vt:lpstr>Dim2</vt:lpstr>
      <vt:lpstr>TFT_STAR_Joined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Hartmut Westenberger</dc:creator>
  <cp:lastModifiedBy>Hartmut Westenberger</cp:lastModifiedBy>
  <dcterms:created xsi:type="dcterms:W3CDTF">2025-12-22T14:34:10Z</dcterms:created>
  <dcterms:modified xsi:type="dcterms:W3CDTF">2025-12-22T19:48:11Z</dcterms:modified>
</cp:coreProperties>
</file>