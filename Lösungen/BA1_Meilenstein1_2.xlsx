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showInkAnnotation="0" autoCompressPictures="0"/>
  <xr:revisionPtr revIDLastSave="0" documentId="8_{E5472760-A794-4122-AD33-8EF2B5D595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alender" sheetId="1" r:id="rId1"/>
    <sheet name="Abwesenheiten" sheetId="2" r:id="rId2"/>
    <sheet name="Dim_Mitarbeiter" sheetId="3" r:id="rId3"/>
    <sheet name="Dim_Abwesenheit" sheetId="4" r:id="rId4"/>
    <sheet name="Dim_Datum" sheetId="5" r:id="rId5"/>
    <sheet name="TFT" sheetId="6" r:id="rId6"/>
    <sheet name="TFT_Berechnung" sheetId="7" r:id="rId7"/>
    <sheet name="PSFT" sheetId="8" r:id="rId8"/>
    <sheet name="ASFT" sheetId="9" r:id="rId9"/>
    <sheet name="Bericht" sheetId="10" r:id="rId10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9" l="1"/>
  <c r="B6" i="9"/>
  <c r="A6" i="9"/>
  <c r="E5" i="9"/>
  <c r="B5" i="9"/>
  <c r="A5" i="9"/>
  <c r="E4" i="9"/>
  <c r="B4" i="9"/>
  <c r="A4" i="9"/>
  <c r="E3" i="9"/>
  <c r="B3" i="9"/>
  <c r="A3" i="9"/>
  <c r="E2" i="9"/>
  <c r="B2" i="9"/>
  <c r="A2" i="9"/>
  <c r="E6" i="7"/>
  <c r="B6" i="7"/>
  <c r="A6" i="7"/>
  <c r="E5" i="7"/>
  <c r="B5" i="7"/>
  <c r="A5" i="7"/>
  <c r="E4" i="7"/>
  <c r="G4" i="7" s="1"/>
  <c r="B4" i="7"/>
  <c r="A4" i="7"/>
  <c r="E3" i="7"/>
  <c r="B3" i="7"/>
  <c r="A3" i="7"/>
  <c r="E2" i="7"/>
  <c r="B2" i="7"/>
  <c r="A2" i="7"/>
  <c r="F11" i="6"/>
  <c r="F10" i="6"/>
  <c r="F9" i="6"/>
  <c r="F8" i="6"/>
  <c r="F7" i="6"/>
  <c r="F6" i="6"/>
  <c r="F5" i="6"/>
  <c r="F4" i="6"/>
  <c r="F3" i="6"/>
  <c r="F2" i="6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G6" i="2"/>
  <c r="F6" i="2"/>
  <c r="E6" i="2"/>
  <c r="D6" i="2"/>
  <c r="G5" i="2"/>
  <c r="F5" i="2"/>
  <c r="E5" i="2"/>
  <c r="D5" i="2"/>
  <c r="G4" i="2"/>
  <c r="F4" i="2"/>
  <c r="E4" i="2"/>
  <c r="D4" i="2"/>
  <c r="G3" i="2"/>
  <c r="F3" i="2"/>
  <c r="E3" i="2"/>
  <c r="D3" i="2"/>
  <c r="G2" i="2"/>
  <c r="F2" i="2"/>
  <c r="E2" i="2"/>
  <c r="D2" i="2"/>
  <c r="E31" i="1"/>
  <c r="A31" i="5" s="1"/>
  <c r="A31" i="1"/>
  <c r="E30" i="1"/>
  <c r="A30" i="5" s="1"/>
  <c r="A30" i="1"/>
  <c r="E29" i="1"/>
  <c r="A29" i="5" s="1"/>
  <c r="A29" i="1"/>
  <c r="E28" i="1"/>
  <c r="A28" i="5" s="1"/>
  <c r="A28" i="1"/>
  <c r="E27" i="1"/>
  <c r="A27" i="5" s="1"/>
  <c r="A27" i="1"/>
  <c r="E26" i="1"/>
  <c r="A26" i="5" s="1"/>
  <c r="A26" i="1"/>
  <c r="E25" i="1"/>
  <c r="A25" i="5" s="1"/>
  <c r="A25" i="1"/>
  <c r="E24" i="1"/>
  <c r="A24" i="5" s="1"/>
  <c r="A24" i="1"/>
  <c r="E23" i="1"/>
  <c r="A23" i="5" s="1"/>
  <c r="A23" i="1"/>
  <c r="E22" i="1"/>
  <c r="A22" i="5" s="1"/>
  <c r="A22" i="1"/>
  <c r="E21" i="1"/>
  <c r="A21" i="5" s="1"/>
  <c r="A21" i="1"/>
  <c r="E20" i="1"/>
  <c r="A20" i="5" s="1"/>
  <c r="A20" i="1"/>
  <c r="E19" i="1"/>
  <c r="A19" i="5" s="1"/>
  <c r="A19" i="1"/>
  <c r="E18" i="1"/>
  <c r="A18" i="5" s="1"/>
  <c r="A18" i="1"/>
  <c r="E17" i="1"/>
  <c r="A17" i="5" s="1"/>
  <c r="A17" i="1"/>
  <c r="E16" i="1"/>
  <c r="A16" i="5" s="1"/>
  <c r="A16" i="1"/>
  <c r="E15" i="1"/>
  <c r="A15" i="5" s="1"/>
  <c r="A15" i="1"/>
  <c r="E14" i="1"/>
  <c r="A14" i="5" s="1"/>
  <c r="A14" i="1"/>
  <c r="E13" i="1"/>
  <c r="A13" i="5" s="1"/>
  <c r="A13" i="1"/>
  <c r="E12" i="1"/>
  <c r="A12" i="5" s="1"/>
  <c r="A12" i="1"/>
  <c r="E11" i="1"/>
  <c r="A11" i="5" s="1"/>
  <c r="A11" i="1"/>
  <c r="E10" i="1"/>
  <c r="A10" i="5" s="1"/>
  <c r="A10" i="1"/>
  <c r="E9" i="1"/>
  <c r="A9" i="5" s="1"/>
  <c r="A9" i="1"/>
  <c r="E8" i="1"/>
  <c r="A8" i="5" s="1"/>
  <c r="A8" i="1"/>
  <c r="E7" i="1"/>
  <c r="A7" i="5" s="1"/>
  <c r="A7" i="1"/>
  <c r="E6" i="1"/>
  <c r="A6" i="5" s="1"/>
  <c r="A6" i="1"/>
  <c r="E5" i="1"/>
  <c r="A5" i="5" s="1"/>
  <c r="A5" i="1"/>
  <c r="E4" i="1"/>
  <c r="A4" i="5" s="1"/>
  <c r="A4" i="1"/>
  <c r="E3" i="1"/>
  <c r="A3" i="5" s="1"/>
  <c r="A3" i="1"/>
  <c r="E2" i="1"/>
  <c r="A2" i="5" s="1"/>
  <c r="A2" i="1"/>
  <c r="B2" i="5" l="1"/>
  <c r="H2" i="1"/>
  <c r="B3" i="5"/>
  <c r="H3" i="1"/>
  <c r="B4" i="5"/>
  <c r="H4" i="1"/>
  <c r="B5" i="5"/>
  <c r="H5" i="1"/>
  <c r="B6" i="5"/>
  <c r="H6" i="1"/>
  <c r="B7" i="5"/>
  <c r="H7" i="1"/>
  <c r="B8" i="5"/>
  <c r="H8" i="1"/>
  <c r="B9" i="5"/>
  <c r="H9" i="1"/>
  <c r="B10" i="5"/>
  <c r="H10" i="1"/>
  <c r="B11" i="5"/>
  <c r="H11" i="1"/>
  <c r="B12" i="5"/>
  <c r="H12" i="1"/>
  <c r="B13" i="5"/>
  <c r="H13" i="1"/>
  <c r="B14" i="5"/>
  <c r="H14" i="1"/>
  <c r="B15" i="5"/>
  <c r="H15" i="1"/>
  <c r="B16" i="5"/>
  <c r="H16" i="1"/>
  <c r="B17" i="5"/>
  <c r="H17" i="1"/>
  <c r="B18" i="5"/>
  <c r="H18" i="1"/>
  <c r="B19" i="5"/>
  <c r="H19" i="1"/>
  <c r="B20" i="5"/>
  <c r="H20" i="1"/>
  <c r="B21" i="5"/>
  <c r="H21" i="1"/>
  <c r="B22" i="5"/>
  <c r="H22" i="1"/>
  <c r="B23" i="5"/>
  <c r="H23" i="1"/>
  <c r="B24" i="5"/>
  <c r="H24" i="1"/>
  <c r="B25" i="5"/>
  <c r="H25" i="1"/>
  <c r="B26" i="5"/>
  <c r="H26" i="1"/>
  <c r="B27" i="5"/>
  <c r="H27" i="1"/>
  <c r="B28" i="5"/>
  <c r="H28" i="1"/>
  <c r="B29" i="5"/>
  <c r="H29" i="1"/>
  <c r="B30" i="5"/>
  <c r="H30" i="1"/>
  <c r="B31" i="5"/>
  <c r="H31" i="1"/>
  <c r="K2" i="9"/>
  <c r="I2" i="7"/>
  <c r="L2" i="9"/>
  <c r="J2" i="7"/>
  <c r="D2" i="7" s="1"/>
  <c r="K3" i="9"/>
  <c r="I3" i="7"/>
  <c r="L3" i="9"/>
  <c r="J3" i="7"/>
  <c r="D3" i="7" s="1"/>
  <c r="K4" i="9"/>
  <c r="I4" i="7"/>
  <c r="L4" i="9"/>
  <c r="J4" i="7"/>
  <c r="D4" i="7" s="1"/>
  <c r="K5" i="9"/>
  <c r="I5" i="7"/>
  <c r="L5" i="9"/>
  <c r="J5" i="7"/>
  <c r="D5" i="7" s="1"/>
  <c r="K6" i="9"/>
  <c r="I6" i="7"/>
  <c r="L6" i="9"/>
  <c r="J6" i="7"/>
  <c r="D6" i="7" s="1"/>
  <c r="J6" i="9" l="1"/>
  <c r="G6" i="9"/>
  <c r="D6" i="9"/>
  <c r="H6" i="7"/>
  <c r="C6" i="7"/>
  <c r="I6" i="9"/>
  <c r="C6" i="9"/>
  <c r="J5" i="9"/>
  <c r="G5" i="9"/>
  <c r="D5" i="9"/>
  <c r="H5" i="7"/>
  <c r="C5" i="7"/>
  <c r="I5" i="9"/>
  <c r="C5" i="9"/>
  <c r="J4" i="9"/>
  <c r="G4" i="9"/>
  <c r="D4" i="9"/>
  <c r="H4" i="7"/>
  <c r="C4" i="7"/>
  <c r="I4" i="9"/>
  <c r="C4" i="9"/>
  <c r="J3" i="9"/>
  <c r="G3" i="9"/>
  <c r="D3" i="9"/>
  <c r="H3" i="7"/>
  <c r="C3" i="7"/>
  <c r="I3" i="9"/>
  <c r="C3" i="9"/>
  <c r="J2" i="9"/>
  <c r="G2" i="9"/>
  <c r="D2" i="9"/>
  <c r="H2" i="7"/>
  <c r="C2" i="7"/>
  <c r="I2" i="9"/>
  <c r="C2" i="9"/>
  <c r="H31" i="5"/>
  <c r="G31" i="1"/>
  <c r="G31" i="5" s="1"/>
  <c r="F31" i="1"/>
  <c r="F31" i="5" s="1"/>
  <c r="C31" i="1"/>
  <c r="D31" i="5" s="1"/>
  <c r="B31" i="1"/>
  <c r="C31" i="5" s="1"/>
  <c r="H30" i="5"/>
  <c r="G30" i="1"/>
  <c r="G30" i="5" s="1"/>
  <c r="F30" i="1"/>
  <c r="F30" i="5" s="1"/>
  <c r="C30" i="1"/>
  <c r="D30" i="5" s="1"/>
  <c r="B30" i="1"/>
  <c r="C30" i="5" s="1"/>
  <c r="H29" i="5"/>
  <c r="G29" i="1"/>
  <c r="G29" i="5" s="1"/>
  <c r="F29" i="1"/>
  <c r="F29" i="5" s="1"/>
  <c r="C29" i="1"/>
  <c r="D29" i="5" s="1"/>
  <c r="B29" i="1"/>
  <c r="C29" i="5" s="1"/>
  <c r="H28" i="5"/>
  <c r="G28" i="1"/>
  <c r="G28" i="5" s="1"/>
  <c r="F28" i="1"/>
  <c r="F28" i="5" s="1"/>
  <c r="C28" i="1"/>
  <c r="D28" i="5" s="1"/>
  <c r="B28" i="1"/>
  <c r="C28" i="5" s="1"/>
  <c r="H11" i="6"/>
  <c r="H27" i="5"/>
  <c r="G27" i="1"/>
  <c r="G27" i="5" s="1"/>
  <c r="F27" i="1"/>
  <c r="F27" i="5" s="1"/>
  <c r="C27" i="1"/>
  <c r="B27" i="1"/>
  <c r="H26" i="5"/>
  <c r="G26" i="1"/>
  <c r="G26" i="5" s="1"/>
  <c r="F26" i="1"/>
  <c r="F26" i="5" s="1"/>
  <c r="C26" i="1"/>
  <c r="D26" i="5" s="1"/>
  <c r="B26" i="1"/>
  <c r="C26" i="5" s="1"/>
  <c r="H25" i="5"/>
  <c r="G25" i="1"/>
  <c r="G25" i="5" s="1"/>
  <c r="F25" i="1"/>
  <c r="F25" i="5" s="1"/>
  <c r="C25" i="1"/>
  <c r="D25" i="5" s="1"/>
  <c r="B25" i="1"/>
  <c r="C25" i="5" s="1"/>
  <c r="H24" i="5"/>
  <c r="G24" i="1"/>
  <c r="G24" i="5" s="1"/>
  <c r="F24" i="1"/>
  <c r="F24" i="5" s="1"/>
  <c r="C24" i="1"/>
  <c r="D24" i="5" s="1"/>
  <c r="B24" i="1"/>
  <c r="C24" i="5" s="1"/>
  <c r="H23" i="5"/>
  <c r="G23" i="1"/>
  <c r="G23" i="5" s="1"/>
  <c r="F23" i="1"/>
  <c r="F23" i="5" s="1"/>
  <c r="C23" i="1"/>
  <c r="D23" i="5" s="1"/>
  <c r="B23" i="1"/>
  <c r="C23" i="5" s="1"/>
  <c r="H22" i="5"/>
  <c r="G22" i="1"/>
  <c r="G22" i="5" s="1"/>
  <c r="F22" i="1"/>
  <c r="F22" i="5" s="1"/>
  <c r="C22" i="1"/>
  <c r="D22" i="5" s="1"/>
  <c r="B22" i="1"/>
  <c r="C22" i="5" s="1"/>
  <c r="H21" i="5"/>
  <c r="G21" i="1"/>
  <c r="G21" i="5" s="1"/>
  <c r="F21" i="1"/>
  <c r="F21" i="5" s="1"/>
  <c r="C21" i="1"/>
  <c r="D21" i="5" s="1"/>
  <c r="B21" i="1"/>
  <c r="C21" i="5" s="1"/>
  <c r="H20" i="5"/>
  <c r="G20" i="1"/>
  <c r="G20" i="5" s="1"/>
  <c r="F20" i="1"/>
  <c r="F20" i="5" s="1"/>
  <c r="C20" i="1"/>
  <c r="D20" i="5" s="1"/>
  <c r="B20" i="1"/>
  <c r="C20" i="5" s="1"/>
  <c r="H19" i="5"/>
  <c r="G19" i="1"/>
  <c r="G19" i="5" s="1"/>
  <c r="F19" i="1"/>
  <c r="F19" i="5" s="1"/>
  <c r="C19" i="1"/>
  <c r="D19" i="5" s="1"/>
  <c r="B19" i="1"/>
  <c r="C19" i="5" s="1"/>
  <c r="H10" i="6"/>
  <c r="H18" i="5"/>
  <c r="G18" i="1"/>
  <c r="G18" i="5" s="1"/>
  <c r="F18" i="1"/>
  <c r="F18" i="5" s="1"/>
  <c r="C18" i="1"/>
  <c r="D18" i="5" s="1"/>
  <c r="B18" i="1"/>
  <c r="H9" i="6"/>
  <c r="H17" i="5"/>
  <c r="G17" i="1"/>
  <c r="G17" i="5" s="1"/>
  <c r="F17" i="1"/>
  <c r="F17" i="5" s="1"/>
  <c r="C17" i="1"/>
  <c r="D17" i="5" s="1"/>
  <c r="B17" i="1"/>
  <c r="H8" i="6"/>
  <c r="H16" i="5"/>
  <c r="G16" i="1"/>
  <c r="G16" i="5" s="1"/>
  <c r="F16" i="1"/>
  <c r="F16" i="5" s="1"/>
  <c r="C16" i="1"/>
  <c r="B16" i="1"/>
  <c r="H15" i="5"/>
  <c r="G15" i="1"/>
  <c r="G15" i="5" s="1"/>
  <c r="F15" i="1"/>
  <c r="F15" i="5" s="1"/>
  <c r="C15" i="1"/>
  <c r="D15" i="5" s="1"/>
  <c r="B15" i="1"/>
  <c r="C15" i="5" s="1"/>
  <c r="H14" i="5"/>
  <c r="G14" i="1"/>
  <c r="G14" i="5" s="1"/>
  <c r="F14" i="1"/>
  <c r="F14" i="5" s="1"/>
  <c r="C14" i="1"/>
  <c r="D14" i="5" s="1"/>
  <c r="B14" i="1"/>
  <c r="C14" i="5" s="1"/>
  <c r="H13" i="5"/>
  <c r="G13" i="1"/>
  <c r="G13" i="5" s="1"/>
  <c r="F13" i="1"/>
  <c r="F13" i="5" s="1"/>
  <c r="C13" i="1"/>
  <c r="D13" i="5" s="1"/>
  <c r="B13" i="1"/>
  <c r="C13" i="5" s="1"/>
  <c r="H12" i="5"/>
  <c r="G12" i="1"/>
  <c r="G12" i="5" s="1"/>
  <c r="F12" i="1"/>
  <c r="F12" i="5" s="1"/>
  <c r="C12" i="1"/>
  <c r="D12" i="5" s="1"/>
  <c r="B12" i="1"/>
  <c r="C12" i="5" s="1"/>
  <c r="H6" i="6"/>
  <c r="H11" i="5"/>
  <c r="G11" i="1"/>
  <c r="G11" i="5" s="1"/>
  <c r="F11" i="1"/>
  <c r="F11" i="5" s="1"/>
  <c r="C11" i="1"/>
  <c r="D11" i="5" s="1"/>
  <c r="B11" i="1"/>
  <c r="H5" i="6"/>
  <c r="H10" i="5"/>
  <c r="G10" i="1"/>
  <c r="G10" i="5" s="1"/>
  <c r="F10" i="1"/>
  <c r="F10" i="5" s="1"/>
  <c r="C10" i="1"/>
  <c r="D10" i="5" s="1"/>
  <c r="B10" i="1"/>
  <c r="H4" i="6"/>
  <c r="H9" i="5"/>
  <c r="G9" i="1"/>
  <c r="G9" i="5" s="1"/>
  <c r="F9" i="1"/>
  <c r="F9" i="5" s="1"/>
  <c r="C9" i="1"/>
  <c r="B9" i="1"/>
  <c r="H8" i="5"/>
  <c r="G8" i="1"/>
  <c r="G8" i="5" s="1"/>
  <c r="F8" i="1"/>
  <c r="F8" i="5" s="1"/>
  <c r="C8" i="1"/>
  <c r="D8" i="5" s="1"/>
  <c r="B8" i="1"/>
  <c r="C8" i="5" s="1"/>
  <c r="H7" i="5"/>
  <c r="G7" i="1"/>
  <c r="G7" i="5" s="1"/>
  <c r="F7" i="1"/>
  <c r="F7" i="5" s="1"/>
  <c r="C7" i="1"/>
  <c r="D7" i="5" s="1"/>
  <c r="B7" i="1"/>
  <c r="C7" i="5" s="1"/>
  <c r="H7" i="6"/>
  <c r="H6" i="5"/>
  <c r="G6" i="1"/>
  <c r="G6" i="5" s="1"/>
  <c r="F6" i="1"/>
  <c r="F6" i="5" s="1"/>
  <c r="C6" i="1"/>
  <c r="B6" i="1"/>
  <c r="H5" i="5"/>
  <c r="G5" i="1"/>
  <c r="G5" i="5" s="1"/>
  <c r="F5" i="1"/>
  <c r="F5" i="5" s="1"/>
  <c r="C5" i="1"/>
  <c r="D5" i="5" s="1"/>
  <c r="B5" i="1"/>
  <c r="C5" i="5" s="1"/>
  <c r="H3" i="6"/>
  <c r="H4" i="5"/>
  <c r="G4" i="1"/>
  <c r="G4" i="5" s="1"/>
  <c r="F4" i="1"/>
  <c r="F4" i="5" s="1"/>
  <c r="C4" i="1"/>
  <c r="D4" i="5" s="1"/>
  <c r="B4" i="1"/>
  <c r="H2" i="6"/>
  <c r="H3" i="5"/>
  <c r="G3" i="1"/>
  <c r="G3" i="5" s="1"/>
  <c r="F3" i="1"/>
  <c r="F3" i="5" s="1"/>
  <c r="C3" i="1"/>
  <c r="B3" i="1"/>
  <c r="H2" i="5"/>
  <c r="G2" i="1"/>
  <c r="G2" i="5" s="1"/>
  <c r="F2" i="1"/>
  <c r="F2" i="5" s="1"/>
  <c r="C2" i="1"/>
  <c r="D2" i="5" s="1"/>
  <c r="B2" i="1"/>
  <c r="B8" i="10" l="1"/>
  <c r="D8" i="10" s="1"/>
  <c r="B7" i="10"/>
  <c r="D7" i="10" s="1"/>
  <c r="B6" i="10"/>
  <c r="B5" i="10"/>
  <c r="B4" i="10"/>
  <c r="B3" i="10"/>
  <c r="B2" i="10"/>
  <c r="C2" i="5"/>
  <c r="C2" i="6"/>
  <c r="C3" i="5"/>
  <c r="D3" i="5"/>
  <c r="F2" i="7"/>
  <c r="G2" i="6"/>
  <c r="E2" i="6" s="1"/>
  <c r="B2" i="6"/>
  <c r="C3" i="6"/>
  <c r="C4" i="5"/>
  <c r="G3" i="6"/>
  <c r="E3" i="6" s="1"/>
  <c r="B3" i="6"/>
  <c r="C7" i="6"/>
  <c r="C6" i="5"/>
  <c r="D6" i="5"/>
  <c r="F4" i="7"/>
  <c r="F4" i="9" s="1"/>
  <c r="G7" i="6"/>
  <c r="E7" i="6" s="1"/>
  <c r="B7" i="6"/>
  <c r="C4" i="6"/>
  <c r="C9" i="5"/>
  <c r="D9" i="5"/>
  <c r="F3" i="7"/>
  <c r="G4" i="6"/>
  <c r="E4" i="6" s="1"/>
  <c r="B4" i="6"/>
  <c r="C5" i="6"/>
  <c r="C10" i="5"/>
  <c r="G5" i="6"/>
  <c r="E5" i="6" s="1"/>
  <c r="B5" i="6"/>
  <c r="C6" i="6"/>
  <c r="C11" i="5"/>
  <c r="G6" i="6"/>
  <c r="E6" i="6" s="1"/>
  <c r="B6" i="6"/>
  <c r="C8" i="6"/>
  <c r="C16" i="5"/>
  <c r="D16" i="5"/>
  <c r="F5" i="7"/>
  <c r="G8" i="6"/>
  <c r="E8" i="6" s="1"/>
  <c r="B8" i="6"/>
  <c r="C9" i="6"/>
  <c r="C17" i="5"/>
  <c r="G9" i="6"/>
  <c r="E9" i="6" s="1"/>
  <c r="B9" i="6"/>
  <c r="C10" i="6"/>
  <c r="C18" i="5"/>
  <c r="G10" i="6"/>
  <c r="E10" i="6" s="1"/>
  <c r="B10" i="6"/>
  <c r="C11" i="6"/>
  <c r="C27" i="5"/>
  <c r="D27" i="5"/>
  <c r="F6" i="7"/>
  <c r="G11" i="6"/>
  <c r="E11" i="6" s="1"/>
  <c r="B11" i="6"/>
  <c r="D13" i="8"/>
  <c r="C13" i="8"/>
  <c r="E13" i="8" s="1"/>
  <c r="F13" i="8" s="1"/>
  <c r="D12" i="8"/>
  <c r="C12" i="8"/>
  <c r="E12" i="8" s="1"/>
  <c r="F12" i="8" s="1"/>
  <c r="D11" i="8"/>
  <c r="C11" i="8"/>
  <c r="E11" i="8" s="1"/>
  <c r="F11" i="8" s="1"/>
  <c r="D10" i="8"/>
  <c r="C10" i="8"/>
  <c r="E10" i="8" s="1"/>
  <c r="F10" i="8" s="1"/>
  <c r="D9" i="8"/>
  <c r="C9" i="8"/>
  <c r="E9" i="8" s="1"/>
  <c r="F9" i="8" s="1"/>
  <c r="D8" i="8"/>
  <c r="C8" i="8"/>
  <c r="E8" i="8" s="1"/>
  <c r="F8" i="8" s="1"/>
  <c r="C7" i="8"/>
  <c r="D6" i="8"/>
  <c r="C6" i="8"/>
  <c r="E6" i="8" s="1"/>
  <c r="F6" i="8" s="1"/>
  <c r="D5" i="8"/>
  <c r="C5" i="8"/>
  <c r="E5" i="8" s="1"/>
  <c r="F5" i="8" s="1"/>
  <c r="D4" i="8"/>
  <c r="C4" i="8"/>
  <c r="E4" i="8" s="1"/>
  <c r="F4" i="8" s="1"/>
  <c r="D3" i="8"/>
  <c r="C3" i="8"/>
  <c r="E3" i="8" s="1"/>
  <c r="F3" i="8" s="1"/>
  <c r="D2" i="8"/>
  <c r="C2" i="8"/>
  <c r="E2" i="8" s="1"/>
  <c r="F2" i="8" s="1"/>
  <c r="D25" i="8"/>
  <c r="C25" i="8"/>
  <c r="E25" i="8" s="1"/>
  <c r="F25" i="8" s="1"/>
  <c r="D24" i="8"/>
  <c r="C24" i="8"/>
  <c r="E24" i="8" s="1"/>
  <c r="F24" i="8" s="1"/>
  <c r="D23" i="8"/>
  <c r="C23" i="8"/>
  <c r="E23" i="8" s="1"/>
  <c r="F23" i="8" s="1"/>
  <c r="D22" i="8"/>
  <c r="C22" i="8"/>
  <c r="E22" i="8" s="1"/>
  <c r="F22" i="8" s="1"/>
  <c r="D21" i="8"/>
  <c r="C21" i="8"/>
  <c r="E21" i="8" s="1"/>
  <c r="F21" i="8" s="1"/>
  <c r="D20" i="8"/>
  <c r="C20" i="8"/>
  <c r="E20" i="8" s="1"/>
  <c r="F20" i="8" s="1"/>
  <c r="C19" i="8"/>
  <c r="D18" i="8"/>
  <c r="C18" i="8"/>
  <c r="E18" i="8" s="1"/>
  <c r="F18" i="8" s="1"/>
  <c r="D17" i="8"/>
  <c r="C17" i="8"/>
  <c r="E17" i="8" s="1"/>
  <c r="F17" i="8" s="1"/>
  <c r="D16" i="8"/>
  <c r="C16" i="8"/>
  <c r="E16" i="8" s="1"/>
  <c r="F16" i="8" s="1"/>
  <c r="D15" i="8"/>
  <c r="C15" i="8"/>
  <c r="E15" i="8" s="1"/>
  <c r="F15" i="8" s="1"/>
  <c r="D14" i="8"/>
  <c r="C14" i="8"/>
  <c r="E14" i="8" s="1"/>
  <c r="F14" i="8" s="1"/>
  <c r="D37" i="8"/>
  <c r="C37" i="8"/>
  <c r="E37" i="8" s="1"/>
  <c r="F37" i="8" s="1"/>
  <c r="D36" i="8"/>
  <c r="C36" i="8"/>
  <c r="E36" i="8" s="1"/>
  <c r="F36" i="8" s="1"/>
  <c r="D35" i="8"/>
  <c r="C35" i="8"/>
  <c r="E35" i="8" s="1"/>
  <c r="F35" i="8" s="1"/>
  <c r="D34" i="8"/>
  <c r="C34" i="8"/>
  <c r="E34" i="8" s="1"/>
  <c r="F34" i="8" s="1"/>
  <c r="D33" i="8"/>
  <c r="C33" i="8"/>
  <c r="E33" i="8" s="1"/>
  <c r="F33" i="8" s="1"/>
  <c r="D32" i="8"/>
  <c r="C32" i="8"/>
  <c r="E32" i="8" s="1"/>
  <c r="F32" i="8" s="1"/>
  <c r="C31" i="8"/>
  <c r="D30" i="8"/>
  <c r="C30" i="8"/>
  <c r="E30" i="8" s="1"/>
  <c r="F30" i="8" s="1"/>
  <c r="D29" i="8"/>
  <c r="C29" i="8"/>
  <c r="E29" i="8" s="1"/>
  <c r="F29" i="8" s="1"/>
  <c r="D28" i="8"/>
  <c r="C28" i="8"/>
  <c r="E28" i="8" s="1"/>
  <c r="F28" i="8" s="1"/>
  <c r="D27" i="8"/>
  <c r="C27" i="8"/>
  <c r="E27" i="8" s="1"/>
  <c r="F27" i="8" s="1"/>
  <c r="D26" i="8"/>
  <c r="C26" i="8"/>
  <c r="E26" i="8" s="1"/>
  <c r="F26" i="8" s="1"/>
  <c r="F6" i="9" l="1"/>
  <c r="G6" i="7"/>
  <c r="D31" i="8" s="1"/>
  <c r="E31" i="8" s="1"/>
  <c r="F31" i="8" s="1"/>
  <c r="F5" i="9"/>
  <c r="G5" i="7"/>
  <c r="D19" i="8" s="1"/>
  <c r="E19" i="8" s="1"/>
  <c r="F19" i="8" s="1"/>
  <c r="F3" i="9"/>
  <c r="G3" i="7"/>
  <c r="F2" i="9"/>
  <c r="G2" i="7"/>
  <c r="D7" i="8" s="1"/>
  <c r="E7" i="8" s="1"/>
  <c r="F7" i="8" s="1"/>
  <c r="C8" i="10"/>
  <c r="C7" i="10"/>
  <c r="C6" i="10"/>
  <c r="C5" i="10"/>
  <c r="C4" i="10"/>
  <c r="C3" i="10"/>
  <c r="C2" i="10"/>
  <c r="D2" i="10"/>
  <c r="D3" i="10"/>
  <c r="D4" i="10"/>
  <c r="D5" i="10"/>
  <c r="D6" i="10"/>
</calcChain>
</file>

<file path=xl/sharedStrings.xml><?xml version="1.0" encoding="utf-8"?>
<sst xmlns="http://schemas.openxmlformats.org/spreadsheetml/2006/main" count="168" uniqueCount="64">
  <si>
    <t>Datum</t>
  </si>
  <si>
    <t>Wochentag</t>
  </si>
  <si>
    <t>Arbeitsfrei</t>
  </si>
  <si>
    <t>Feiertag</t>
  </si>
  <si>
    <t>DateKey</t>
  </si>
  <si>
    <t>Monat</t>
  </si>
  <si>
    <t>Jahr</t>
  </si>
  <si>
    <t>DatumWert</t>
  </si>
  <si>
    <t>EmployeeNo</t>
  </si>
  <si>
    <t>AbsenceID</t>
  </si>
  <si>
    <t>AbsenceCause</t>
  </si>
  <si>
    <t>FromDate</t>
  </si>
  <si>
    <t>ToDate</t>
  </si>
  <si>
    <t>FromDateWert</t>
  </si>
  <si>
    <t>ToDateWert</t>
  </si>
  <si>
    <t>E001</t>
  </si>
  <si>
    <t>KRANK</t>
  </si>
  <si>
    <t>E002</t>
  </si>
  <si>
    <t>URLAUB</t>
  </si>
  <si>
    <t>E003</t>
  </si>
  <si>
    <t>Vorname</t>
  </si>
  <si>
    <t>Nachname</t>
  </si>
  <si>
    <t>Abteilung</t>
  </si>
  <si>
    <t>Position</t>
  </si>
  <si>
    <t>Standort</t>
  </si>
  <si>
    <t>Alice</t>
  </si>
  <si>
    <t>Müller</t>
  </si>
  <si>
    <t>Vertrieb</t>
  </si>
  <si>
    <t>Sales Rep</t>
  </si>
  <si>
    <t>Köln</t>
  </si>
  <si>
    <t>Bob</t>
  </si>
  <si>
    <t>Schmidt</t>
  </si>
  <si>
    <t>IT</t>
  </si>
  <si>
    <t>Developer</t>
  </si>
  <si>
    <t>Carol</t>
  </si>
  <si>
    <t>Becker</t>
  </si>
  <si>
    <t>HR</t>
  </si>
  <si>
    <t>HR Manager</t>
  </si>
  <si>
    <t>Beschreibung</t>
  </si>
  <si>
    <t>Krankheit</t>
  </si>
  <si>
    <t>Urlaub</t>
  </si>
  <si>
    <t>SONSTIG</t>
  </si>
  <si>
    <t>Sonstiges</t>
  </si>
  <si>
    <t>Arbeitstag</t>
  </si>
  <si>
    <t>SickFlag</t>
  </si>
  <si>
    <t>WorkDaysAbsent</t>
  </si>
  <si>
    <t>SickDays</t>
  </si>
  <si>
    <t>Abwesenheitstage</t>
  </si>
  <si>
    <t>Krankheitstage</t>
  </si>
  <si>
    <t>Arbeitstage</t>
  </si>
  <si>
    <t>SicknessRatePeriod</t>
  </si>
  <si>
    <t>AbsenceCaseID</t>
  </si>
  <si>
    <t>DurationDays</t>
  </si>
  <si>
    <t>IsClosedCase</t>
  </si>
  <si>
    <t>StartDateKey</t>
  </si>
  <si>
    <t>EndDateKey</t>
  </si>
  <si>
    <t>Krankheitsquote</t>
  </si>
  <si>
    <t>Montag</t>
  </si>
  <si>
    <t>Dienstag</t>
  </si>
  <si>
    <t>Mittwoch</t>
  </si>
  <si>
    <t>Donnerstag</t>
  </si>
  <si>
    <t>Freitag</t>
  </si>
  <si>
    <t>Samstag</t>
  </si>
  <si>
    <t>Sonntag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</si>
</sst>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>
    <font>
      <sz val="11"/>
      <name val="Carlito"/>
    </font>
    <font>
      <sz val="11"/>
      <name val="Calibri"/>
    </font>
    <font>
      <b/>
      <sz val="11"/>
      <color rgb="FF1F2937"/>
      <name val="Calibri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7EE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64" fontId="1" fillId="0" borderId="1" xfId="0" applyNumberFormat="1" applyFont="1" applyFill="1" applyBorder="1"/>
    <xf numFmtId="0" fontId="2" fillId="2" borderId="1" xfId="1" applyFont="1" applyFill="1" applyBorder="1" applyAlignment="1">
      <alignment horizontal="center"/>
    </xf>
    <xf numFmtId="0" fontId="1" fillId="0" borderId="1" xfId="1" applyFont="1" applyBorder="1"/>
    <xf numFmtId="1" fontId="1" fillId="0" borderId="1" xfId="1" applyNumberFormat="1" applyFont="1" applyBorder="1"/>
    <xf numFmtId="10" fontId="1" fillId="0" borderId="1" xfId="1" applyNumberFormat="1" applyFont="1" applyBorder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Normal="100" zoomScaleSheetLayoutView="100" workbookViewId="0">
      <selection activeCell="A2" sqref="A2"/>
    </sheetView>
  </sheetViews>
  <sheetFormatPr defaultRowHeight="15"/>
  <cols>
    <col min="1" max="1" width="9.25" customWidth="1"/>
    <col min="2" max="2" width="9.75" customWidth="1"/>
    <col min="3" max="3" width="9.125" customWidth="1"/>
    <col min="4" max="4" width="7" customWidth="1"/>
    <col min="5" max="7" width="7.125" customWidth="1"/>
    <col min="8" max="8" width="10.125" customWidth="1"/>
  </cols>
  <sheetData>
    <row r="1" spans="1:8" ht="1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customHeight="1">
      <c r="A2" s="1" t="str">
        <f>"01.06.2020"</f>
        <v>01.06.2020</v>
      </c>
      <c r="B2" s="3" t="str">
        <f>CHOOSE(WEEKDAY(DATE(VALUE(RIGHT(H2,4)),VALUE(MID(H2,4,2)),VALUE(LEFT(H2,2))),2),"Montag","Dienstag","Mittwoch","Donnerstag","Freitag","Samstag","Sonntag")</f>
        <v>Montag</v>
      </c>
      <c r="C2" s="3" t="str">
        <f>IF(OR(WEEKDAY(DATE(VALUE(RIGHT(H2,4)),VALUE(MID(H2,4,2)),VALUE(LEFT(H2,2))),2)&gt;5,D2=1),"Ja","Nein")</f>
        <v>Nein</v>
      </c>
      <c r="D2" s="4">
        <v>0</v>
      </c>
      <c r="E2" s="4">
        <f>ROW()-1</f>
        <v>1</v>
      </c>
      <c r="F2" s="4">
        <f>MONTH(DATE(VALUE(RIGHT(H2,4)),VALUE(MID(H2,4,2)),VALUE(LEFT(H2,2))))</f>
        <v>6</v>
      </c>
      <c r="G2" s="4">
        <f>YEAR(DATE(VALUE(RIGHT(H2,4)),VALUE(MID(H2,4,2)),VALUE(LEFT(H2,2))))</f>
        <v>2020</v>
      </c>
      <c r="H2" s="1" t="str">
        <f>A2</f>
        <v>01.06.2020</v>
      </c>
    </row>
    <row r="3" spans="1:8" ht="18" customHeight="1">
      <c r="A3" s="1" t="str">
        <f>"02.06.2020"</f>
        <v>02.06.2020</v>
      </c>
      <c r="B3" s="3" t="str">
        <f>CHOOSE(WEEKDAY(DATE(VALUE(RIGHT(H3,4)),VALUE(MID(H3,4,2)),VALUE(LEFT(H3,2))),2),"Montag","Dienstag","Mittwoch","Donnerstag","Freitag","Samstag","Sonntag")</f>
        <v>Dienstag</v>
      </c>
      <c r="C3" s="3" t="str">
        <f>IF(OR(WEEKDAY(DATE(VALUE(RIGHT(H3,4)),VALUE(MID(H3,4,2)),VALUE(LEFT(H3,2))),2)&gt;5,D3=1),"Ja","Nein")</f>
        <v>Nein</v>
      </c>
      <c r="D3" s="4">
        <v>0</v>
      </c>
      <c r="E3" s="4">
        <f>ROW()-1</f>
        <v>2</v>
      </c>
      <c r="F3" s="4">
        <f>MONTH(DATE(VALUE(RIGHT(H3,4)),VALUE(MID(H3,4,2)),VALUE(LEFT(H3,2))))</f>
        <v>6</v>
      </c>
      <c r="G3" s="4">
        <f>YEAR(DATE(VALUE(RIGHT(H3,4)),VALUE(MID(H3,4,2)),VALUE(LEFT(H3,2))))</f>
        <v>2020</v>
      </c>
      <c r="H3" s="1" t="str">
        <f>A3</f>
        <v>02.06.2020</v>
      </c>
    </row>
    <row r="4" spans="1:8" ht="18" customHeight="1">
      <c r="A4" s="1" t="str">
        <f>"03.06.2020"</f>
        <v>03.06.2020</v>
      </c>
      <c r="B4" s="3" t="str">
        <f>CHOOSE(WEEKDAY(DATE(VALUE(RIGHT(H4,4)),VALUE(MID(H4,4,2)),VALUE(LEFT(H4,2))),2),"Montag","Dienstag","Mittwoch","Donnerstag","Freitag","Samstag","Sonntag")</f>
        <v>Mittwoch</v>
      </c>
      <c r="C4" s="3" t="str">
        <f>IF(OR(WEEKDAY(DATE(VALUE(RIGHT(H4,4)),VALUE(MID(H4,4,2)),VALUE(LEFT(H4,2))),2)&gt;5,D4=1),"Ja","Nein")</f>
        <v>Nein</v>
      </c>
      <c r="D4" s="4">
        <v>0</v>
      </c>
      <c r="E4" s="4">
        <f>ROW()-1</f>
        <v>3</v>
      </c>
      <c r="F4" s="4">
        <f>MONTH(DATE(VALUE(RIGHT(H4,4)),VALUE(MID(H4,4,2)),VALUE(LEFT(H4,2))))</f>
        <v>6</v>
      </c>
      <c r="G4" s="4">
        <f>YEAR(DATE(VALUE(RIGHT(H4,4)),VALUE(MID(H4,4,2)),VALUE(LEFT(H4,2))))</f>
        <v>2020</v>
      </c>
      <c r="H4" s="1" t="str">
        <f>A4</f>
        <v>03.06.2020</v>
      </c>
    </row>
    <row r="5" spans="1:8" ht="18" customHeight="1">
      <c r="A5" s="1" t="str">
        <f>"04.06.2020"</f>
        <v>04.06.2020</v>
      </c>
      <c r="B5" s="3" t="str">
        <f>CHOOSE(WEEKDAY(DATE(VALUE(RIGHT(H5,4)),VALUE(MID(H5,4,2)),VALUE(LEFT(H5,2))),2),"Montag","Dienstag","Mittwoch","Donnerstag","Freitag","Samstag","Sonntag")</f>
        <v>Donnerstag</v>
      </c>
      <c r="C5" s="3" t="str">
        <f>IF(OR(WEEKDAY(DATE(VALUE(RIGHT(H5,4)),VALUE(MID(H5,4,2)),VALUE(LEFT(H5,2))),2)&gt;5,D5=1),"Ja","Nein")</f>
        <v>Nein</v>
      </c>
      <c r="D5" s="4">
        <v>0</v>
      </c>
      <c r="E5" s="4">
        <f>ROW()-1</f>
        <v>4</v>
      </c>
      <c r="F5" s="4">
        <f>MONTH(DATE(VALUE(RIGHT(H5,4)),VALUE(MID(H5,4,2)),VALUE(LEFT(H5,2))))</f>
        <v>6</v>
      </c>
      <c r="G5" s="4">
        <f>YEAR(DATE(VALUE(RIGHT(H5,4)),VALUE(MID(H5,4,2)),VALUE(LEFT(H5,2))))</f>
        <v>2020</v>
      </c>
      <c r="H5" s="1" t="str">
        <f>A5</f>
        <v>04.06.2020</v>
      </c>
    </row>
    <row r="6" spans="1:8" ht="18" customHeight="1">
      <c r="A6" s="1" t="str">
        <f>"05.06.2020"</f>
        <v>05.06.2020</v>
      </c>
      <c r="B6" s="3" t="str">
        <f>CHOOSE(WEEKDAY(DATE(VALUE(RIGHT(H6,4)),VALUE(MID(H6,4,2)),VALUE(LEFT(H6,2))),2),"Montag","Dienstag","Mittwoch","Donnerstag","Freitag","Samstag","Sonntag")</f>
        <v>Freitag</v>
      </c>
      <c r="C6" s="3" t="str">
        <f>IF(OR(WEEKDAY(DATE(VALUE(RIGHT(H6,4)),VALUE(MID(H6,4,2)),VALUE(LEFT(H6,2))),2)&gt;5,D6=1),"Ja","Nein")</f>
        <v>Nein</v>
      </c>
      <c r="D6" s="4">
        <v>0</v>
      </c>
      <c r="E6" s="4">
        <f>ROW()-1</f>
        <v>5</v>
      </c>
      <c r="F6" s="4">
        <f>MONTH(DATE(VALUE(RIGHT(H6,4)),VALUE(MID(H6,4,2)),VALUE(LEFT(H6,2))))</f>
        <v>6</v>
      </c>
      <c r="G6" s="4">
        <f>YEAR(DATE(VALUE(RIGHT(H6,4)),VALUE(MID(H6,4,2)),VALUE(LEFT(H6,2))))</f>
        <v>2020</v>
      </c>
      <c r="H6" s="1" t="str">
        <f>A6</f>
        <v>05.06.2020</v>
      </c>
    </row>
    <row r="7" spans="1:8" ht="18" customHeight="1">
      <c r="A7" s="1" t="str">
        <f>"06.06.2020"</f>
        <v>06.06.2020</v>
      </c>
      <c r="B7" s="3" t="str">
        <f>CHOOSE(WEEKDAY(DATE(VALUE(RIGHT(H7,4)),VALUE(MID(H7,4,2)),VALUE(LEFT(H7,2))),2),"Montag","Dienstag","Mittwoch","Donnerstag","Freitag","Samstag","Sonntag")</f>
        <v>Samstag</v>
      </c>
      <c r="C7" s="3" t="str">
        <f>IF(OR(WEEKDAY(DATE(VALUE(RIGHT(H7,4)),VALUE(MID(H7,4,2)),VALUE(LEFT(H7,2))),2)&gt;5,D7=1),"Ja","Nein")</f>
        <v>Ja</v>
      </c>
      <c r="D7" s="4">
        <v>0</v>
      </c>
      <c r="E7" s="4">
        <f>ROW()-1</f>
        <v>6</v>
      </c>
      <c r="F7" s="4">
        <f>MONTH(DATE(VALUE(RIGHT(H7,4)),VALUE(MID(H7,4,2)),VALUE(LEFT(H7,2))))</f>
        <v>6</v>
      </c>
      <c r="G7" s="4">
        <f>YEAR(DATE(VALUE(RIGHT(H7,4)),VALUE(MID(H7,4,2)),VALUE(LEFT(H7,2))))</f>
        <v>2020</v>
      </c>
      <c r="H7" s="1" t="str">
        <f>A7</f>
        <v>06.06.2020</v>
      </c>
    </row>
    <row r="8" spans="1:8" ht="18" customHeight="1">
      <c r="A8" s="1" t="str">
        <f>"07.06.2020"</f>
        <v>07.06.2020</v>
      </c>
      <c r="B8" s="3" t="str">
        <f>CHOOSE(WEEKDAY(DATE(VALUE(RIGHT(H8,4)),VALUE(MID(H8,4,2)),VALUE(LEFT(H8,2))),2),"Montag","Dienstag","Mittwoch","Donnerstag","Freitag","Samstag","Sonntag")</f>
        <v>Sonntag</v>
      </c>
      <c r="C8" s="3" t="str">
        <f>IF(OR(WEEKDAY(DATE(VALUE(RIGHT(H8,4)),VALUE(MID(H8,4,2)),VALUE(LEFT(H8,2))),2)&gt;5,D8=1),"Ja","Nein")</f>
        <v>Ja</v>
      </c>
      <c r="D8" s="4">
        <v>0</v>
      </c>
      <c r="E8" s="4">
        <f>ROW()-1</f>
        <v>7</v>
      </c>
      <c r="F8" s="4">
        <f>MONTH(DATE(VALUE(RIGHT(H8,4)),VALUE(MID(H8,4,2)),VALUE(LEFT(H8,2))))</f>
        <v>6</v>
      </c>
      <c r="G8" s="4">
        <f>YEAR(DATE(VALUE(RIGHT(H8,4)),VALUE(MID(H8,4,2)),VALUE(LEFT(H8,2))))</f>
        <v>2020</v>
      </c>
      <c r="H8" s="1" t="str">
        <f>A8</f>
        <v>07.06.2020</v>
      </c>
    </row>
    <row r="9" spans="1:8" ht="18" customHeight="1">
      <c r="A9" s="1" t="str">
        <f>"08.06.2020"</f>
        <v>08.06.2020</v>
      </c>
      <c r="B9" s="3" t="str">
        <f>CHOOSE(WEEKDAY(DATE(VALUE(RIGHT(H9,4)),VALUE(MID(H9,4,2)),VALUE(LEFT(H9,2))),2),"Montag","Dienstag","Mittwoch","Donnerstag","Freitag","Samstag","Sonntag")</f>
        <v>Montag</v>
      </c>
      <c r="C9" s="3" t="str">
        <f>IF(OR(WEEKDAY(DATE(VALUE(RIGHT(H9,4)),VALUE(MID(H9,4,2)),VALUE(LEFT(H9,2))),2)&gt;5,D9=1),"Ja","Nein")</f>
        <v>Nein</v>
      </c>
      <c r="D9" s="4">
        <v>0</v>
      </c>
      <c r="E9" s="4">
        <f>ROW()-1</f>
        <v>8</v>
      </c>
      <c r="F9" s="4">
        <f>MONTH(DATE(VALUE(RIGHT(H9,4)),VALUE(MID(H9,4,2)),VALUE(LEFT(H9,2))))</f>
        <v>6</v>
      </c>
      <c r="G9" s="4">
        <f>YEAR(DATE(VALUE(RIGHT(H9,4)),VALUE(MID(H9,4,2)),VALUE(LEFT(H9,2))))</f>
        <v>2020</v>
      </c>
      <c r="H9" s="1" t="str">
        <f>A9</f>
        <v>08.06.2020</v>
      </c>
    </row>
    <row r="10" spans="1:8" ht="18" customHeight="1">
      <c r="A10" s="1" t="str">
        <f>"09.06.2020"</f>
        <v>09.06.2020</v>
      </c>
      <c r="B10" s="3" t="str">
        <f>CHOOSE(WEEKDAY(DATE(VALUE(RIGHT(H10,4)),VALUE(MID(H10,4,2)),VALUE(LEFT(H10,2))),2),"Montag","Dienstag","Mittwoch","Donnerstag","Freitag","Samstag","Sonntag")</f>
        <v>Dienstag</v>
      </c>
      <c r="C10" s="3" t="str">
        <f>IF(OR(WEEKDAY(DATE(VALUE(RIGHT(H10,4)),VALUE(MID(H10,4,2)),VALUE(LEFT(H10,2))),2)&gt;5,D10=1),"Ja","Nein")</f>
        <v>Nein</v>
      </c>
      <c r="D10" s="4">
        <v>0</v>
      </c>
      <c r="E10" s="4">
        <f>ROW()-1</f>
        <v>9</v>
      </c>
      <c r="F10" s="4">
        <f>MONTH(DATE(VALUE(RIGHT(H10,4)),VALUE(MID(H10,4,2)),VALUE(LEFT(H10,2))))</f>
        <v>6</v>
      </c>
      <c r="G10" s="4">
        <f>YEAR(DATE(VALUE(RIGHT(H10,4)),VALUE(MID(H10,4,2)),VALUE(LEFT(H10,2))))</f>
        <v>2020</v>
      </c>
      <c r="H10" s="1" t="str">
        <f>A10</f>
        <v>09.06.2020</v>
      </c>
    </row>
    <row r="11" spans="1:8" ht="18" customHeight="1">
      <c r="A11" s="1" t="str">
        <f>"10.06.2020"</f>
        <v>10.06.2020</v>
      </c>
      <c r="B11" s="3" t="str">
        <f>CHOOSE(WEEKDAY(DATE(VALUE(RIGHT(H11,4)),VALUE(MID(H11,4,2)),VALUE(LEFT(H11,2))),2),"Montag","Dienstag","Mittwoch","Donnerstag","Freitag","Samstag","Sonntag")</f>
        <v>Mittwoch</v>
      </c>
      <c r="C11" s="3" t="str">
        <f>IF(OR(WEEKDAY(DATE(VALUE(RIGHT(H11,4)),VALUE(MID(H11,4,2)),VALUE(LEFT(H11,2))),2)&gt;5,D11=1),"Ja","Nein")</f>
        <v>Nein</v>
      </c>
      <c r="D11" s="4">
        <v>0</v>
      </c>
      <c r="E11" s="4">
        <f>ROW()-1</f>
        <v>10</v>
      </c>
      <c r="F11" s="4">
        <f>MONTH(DATE(VALUE(RIGHT(H11,4)),VALUE(MID(H11,4,2)),VALUE(LEFT(H11,2))))</f>
        <v>6</v>
      </c>
      <c r="G11" s="4">
        <f>YEAR(DATE(VALUE(RIGHT(H11,4)),VALUE(MID(H11,4,2)),VALUE(LEFT(H11,2))))</f>
        <v>2020</v>
      </c>
      <c r="H11" s="1" t="str">
        <f>A11</f>
        <v>10.06.2020</v>
      </c>
    </row>
    <row r="12" spans="1:8" ht="18" customHeight="1">
      <c r="A12" s="1" t="str">
        <f>"11.06.2020"</f>
        <v>11.06.2020</v>
      </c>
      <c r="B12" s="3" t="str">
        <f>CHOOSE(WEEKDAY(DATE(VALUE(RIGHT(H12,4)),VALUE(MID(H12,4,2)),VALUE(LEFT(H12,2))),2),"Montag","Dienstag","Mittwoch","Donnerstag","Freitag","Samstag","Sonntag")</f>
        <v>Donnerstag</v>
      </c>
      <c r="C12" s="3" t="str">
        <f>IF(OR(WEEKDAY(DATE(VALUE(RIGHT(H12,4)),VALUE(MID(H12,4,2)),VALUE(LEFT(H12,2))),2)&gt;5,D12=1),"Ja","Nein")</f>
        <v>Nein</v>
      </c>
      <c r="D12" s="4">
        <v>0</v>
      </c>
      <c r="E12" s="4">
        <f>ROW()-1</f>
        <v>11</v>
      </c>
      <c r="F12" s="4">
        <f>MONTH(DATE(VALUE(RIGHT(H12,4)),VALUE(MID(H12,4,2)),VALUE(LEFT(H12,2))))</f>
        <v>6</v>
      </c>
      <c r="G12" s="4">
        <f>YEAR(DATE(VALUE(RIGHT(H12,4)),VALUE(MID(H12,4,2)),VALUE(LEFT(H12,2))))</f>
        <v>2020</v>
      </c>
      <c r="H12" s="1" t="str">
        <f>A12</f>
        <v>11.06.2020</v>
      </c>
    </row>
    <row r="13" spans="1:8" ht="18" customHeight="1">
      <c r="A13" s="1" t="str">
        <f>"12.06.2020"</f>
        <v>12.06.2020</v>
      </c>
      <c r="B13" s="3" t="str">
        <f>CHOOSE(WEEKDAY(DATE(VALUE(RIGHT(H13,4)),VALUE(MID(H13,4,2)),VALUE(LEFT(H13,2))),2),"Montag","Dienstag","Mittwoch","Donnerstag","Freitag","Samstag","Sonntag")</f>
        <v>Freitag</v>
      </c>
      <c r="C13" s="3" t="str">
        <f>IF(OR(WEEKDAY(DATE(VALUE(RIGHT(H13,4)),VALUE(MID(H13,4,2)),VALUE(LEFT(H13,2))),2)&gt;5,D13=1),"Ja","Nein")</f>
        <v>Nein</v>
      </c>
      <c r="D13" s="4">
        <v>0</v>
      </c>
      <c r="E13" s="4">
        <f>ROW()-1</f>
        <v>12</v>
      </c>
      <c r="F13" s="4">
        <f>MONTH(DATE(VALUE(RIGHT(H13,4)),VALUE(MID(H13,4,2)),VALUE(LEFT(H13,2))))</f>
        <v>6</v>
      </c>
      <c r="G13" s="4">
        <f>YEAR(DATE(VALUE(RIGHT(H13,4)),VALUE(MID(H13,4,2)),VALUE(LEFT(H13,2))))</f>
        <v>2020</v>
      </c>
      <c r="H13" s="1" t="str">
        <f>A13</f>
        <v>12.06.2020</v>
      </c>
    </row>
    <row r="14" spans="1:8" ht="18" customHeight="1">
      <c r="A14" s="1" t="str">
        <f>"13.06.2020"</f>
        <v>13.06.2020</v>
      </c>
      <c r="B14" s="3" t="str">
        <f>CHOOSE(WEEKDAY(DATE(VALUE(RIGHT(H14,4)),VALUE(MID(H14,4,2)),VALUE(LEFT(H14,2))),2),"Montag","Dienstag","Mittwoch","Donnerstag","Freitag","Samstag","Sonntag")</f>
        <v>Samstag</v>
      </c>
      <c r="C14" s="3" t="str">
        <f>IF(OR(WEEKDAY(DATE(VALUE(RIGHT(H14,4)),VALUE(MID(H14,4,2)),VALUE(LEFT(H14,2))),2)&gt;5,D14=1),"Ja","Nein")</f>
        <v>Ja</v>
      </c>
      <c r="D14" s="4">
        <v>0</v>
      </c>
      <c r="E14" s="4">
        <f>ROW()-1</f>
        <v>13</v>
      </c>
      <c r="F14" s="4">
        <f>MONTH(DATE(VALUE(RIGHT(H14,4)),VALUE(MID(H14,4,2)),VALUE(LEFT(H14,2))))</f>
        <v>6</v>
      </c>
      <c r="G14" s="4">
        <f>YEAR(DATE(VALUE(RIGHT(H14,4)),VALUE(MID(H14,4,2)),VALUE(LEFT(H14,2))))</f>
        <v>2020</v>
      </c>
      <c r="H14" s="1" t="str">
        <f>A14</f>
        <v>13.06.2020</v>
      </c>
    </row>
    <row r="15" spans="1:8" ht="18" customHeight="1">
      <c r="A15" s="1" t="str">
        <f>"14.06.2020"</f>
        <v>14.06.2020</v>
      </c>
      <c r="B15" s="3" t="str">
        <f>CHOOSE(WEEKDAY(DATE(VALUE(RIGHT(H15,4)),VALUE(MID(H15,4,2)),VALUE(LEFT(H15,2))),2),"Montag","Dienstag","Mittwoch","Donnerstag","Freitag","Samstag","Sonntag")</f>
        <v>Sonntag</v>
      </c>
      <c r="C15" s="3" t="str">
        <f>IF(OR(WEEKDAY(DATE(VALUE(RIGHT(H15,4)),VALUE(MID(H15,4,2)),VALUE(LEFT(H15,2))),2)&gt;5,D15=1),"Ja","Nein")</f>
        <v>Ja</v>
      </c>
      <c r="D15" s="4">
        <v>0</v>
      </c>
      <c r="E15" s="4">
        <f>ROW()-1</f>
        <v>14</v>
      </c>
      <c r="F15" s="4">
        <f>MONTH(DATE(VALUE(RIGHT(H15,4)),VALUE(MID(H15,4,2)),VALUE(LEFT(H15,2))))</f>
        <v>6</v>
      </c>
      <c r="G15" s="4">
        <f>YEAR(DATE(VALUE(RIGHT(H15,4)),VALUE(MID(H15,4,2)),VALUE(LEFT(H15,2))))</f>
        <v>2020</v>
      </c>
      <c r="H15" s="1" t="str">
        <f>A15</f>
        <v>14.06.2020</v>
      </c>
    </row>
    <row r="16" spans="1:8" ht="18" customHeight="1">
      <c r="A16" s="1" t="str">
        <f>"15.06.2020"</f>
        <v>15.06.2020</v>
      </c>
      <c r="B16" s="3" t="str">
        <f>CHOOSE(WEEKDAY(DATE(VALUE(RIGHT(H16,4)),VALUE(MID(H16,4,2)),VALUE(LEFT(H16,2))),2),"Montag","Dienstag","Mittwoch","Donnerstag","Freitag","Samstag","Sonntag")</f>
        <v>Montag</v>
      </c>
      <c r="C16" s="3" t="str">
        <f>IF(OR(WEEKDAY(DATE(VALUE(RIGHT(H16,4)),VALUE(MID(H16,4,2)),VALUE(LEFT(H16,2))),2)&gt;5,D16=1),"Ja","Nein")</f>
        <v>Nein</v>
      </c>
      <c r="D16" s="4">
        <v>0</v>
      </c>
      <c r="E16" s="4">
        <f>ROW()-1</f>
        <v>15</v>
      </c>
      <c r="F16" s="4">
        <f>MONTH(DATE(VALUE(RIGHT(H16,4)),VALUE(MID(H16,4,2)),VALUE(LEFT(H16,2))))</f>
        <v>6</v>
      </c>
      <c r="G16" s="4">
        <f>YEAR(DATE(VALUE(RIGHT(H16,4)),VALUE(MID(H16,4,2)),VALUE(LEFT(H16,2))))</f>
        <v>2020</v>
      </c>
      <c r="H16" s="1" t="str">
        <f>A16</f>
        <v>15.06.2020</v>
      </c>
    </row>
    <row r="17" spans="1:8" ht="18" customHeight="1">
      <c r="A17" s="1" t="str">
        <f>"16.06.2020"</f>
        <v>16.06.2020</v>
      </c>
      <c r="B17" s="3" t="str">
        <f>CHOOSE(WEEKDAY(DATE(VALUE(RIGHT(H17,4)),VALUE(MID(H17,4,2)),VALUE(LEFT(H17,2))),2),"Montag","Dienstag","Mittwoch","Donnerstag","Freitag","Samstag","Sonntag")</f>
        <v>Dienstag</v>
      </c>
      <c r="C17" s="3" t="str">
        <f>IF(OR(WEEKDAY(DATE(VALUE(RIGHT(H17,4)),VALUE(MID(H17,4,2)),VALUE(LEFT(H17,2))),2)&gt;5,D17=1),"Ja","Nein")</f>
        <v>Nein</v>
      </c>
      <c r="D17" s="4">
        <v>0</v>
      </c>
      <c r="E17" s="4">
        <f>ROW()-1</f>
        <v>16</v>
      </c>
      <c r="F17" s="4">
        <f>MONTH(DATE(VALUE(RIGHT(H17,4)),VALUE(MID(H17,4,2)),VALUE(LEFT(H17,2))))</f>
        <v>6</v>
      </c>
      <c r="G17" s="4">
        <f>YEAR(DATE(VALUE(RIGHT(H17,4)),VALUE(MID(H17,4,2)),VALUE(LEFT(H17,2))))</f>
        <v>2020</v>
      </c>
      <c r="H17" s="1" t="str">
        <f>A17</f>
        <v>16.06.2020</v>
      </c>
    </row>
    <row r="18" spans="1:8" ht="18" customHeight="1">
      <c r="A18" s="1" t="str">
        <f>"17.06.2020"</f>
        <v>17.06.2020</v>
      </c>
      <c r="B18" s="3" t="str">
        <f>CHOOSE(WEEKDAY(DATE(VALUE(RIGHT(H18,4)),VALUE(MID(H18,4,2)),VALUE(LEFT(H18,2))),2),"Montag","Dienstag","Mittwoch","Donnerstag","Freitag","Samstag","Sonntag")</f>
        <v>Mittwoch</v>
      </c>
      <c r="C18" s="3" t="str">
        <f>IF(OR(WEEKDAY(DATE(VALUE(RIGHT(H18,4)),VALUE(MID(H18,4,2)),VALUE(LEFT(H18,2))),2)&gt;5,D18=1),"Ja","Nein")</f>
        <v>Nein</v>
      </c>
      <c r="D18" s="4">
        <v>0</v>
      </c>
      <c r="E18" s="4">
        <f>ROW()-1</f>
        <v>17</v>
      </c>
      <c r="F18" s="4">
        <f>MONTH(DATE(VALUE(RIGHT(H18,4)),VALUE(MID(H18,4,2)),VALUE(LEFT(H18,2))))</f>
        <v>6</v>
      </c>
      <c r="G18" s="4">
        <f>YEAR(DATE(VALUE(RIGHT(H18,4)),VALUE(MID(H18,4,2)),VALUE(LEFT(H18,2))))</f>
        <v>2020</v>
      </c>
      <c r="H18" s="1" t="str">
        <f>A18</f>
        <v>17.06.2020</v>
      </c>
    </row>
    <row r="19" spans="1:8" ht="18" customHeight="1">
      <c r="A19" s="1" t="str">
        <f>"18.06.2020"</f>
        <v>18.06.2020</v>
      </c>
      <c r="B19" s="3" t="str">
        <f>CHOOSE(WEEKDAY(DATE(VALUE(RIGHT(H19,4)),VALUE(MID(H19,4,2)),VALUE(LEFT(H19,2))),2),"Montag","Dienstag","Mittwoch","Donnerstag","Freitag","Samstag","Sonntag")</f>
        <v>Donnerstag</v>
      </c>
      <c r="C19" s="3" t="str">
        <f>IF(OR(WEEKDAY(DATE(VALUE(RIGHT(H19,4)),VALUE(MID(H19,4,2)),VALUE(LEFT(H19,2))),2)&gt;5,D19=1),"Ja","Nein")</f>
        <v>Nein</v>
      </c>
      <c r="D19" s="4">
        <v>0</v>
      </c>
      <c r="E19" s="4">
        <f>ROW()-1</f>
        <v>18</v>
      </c>
      <c r="F19" s="4">
        <f>MONTH(DATE(VALUE(RIGHT(H19,4)),VALUE(MID(H19,4,2)),VALUE(LEFT(H19,2))))</f>
        <v>6</v>
      </c>
      <c r="G19" s="4">
        <f>YEAR(DATE(VALUE(RIGHT(H19,4)),VALUE(MID(H19,4,2)),VALUE(LEFT(H19,2))))</f>
        <v>2020</v>
      </c>
      <c r="H19" s="1" t="str">
        <f>A19</f>
        <v>18.06.2020</v>
      </c>
    </row>
    <row r="20" spans="1:8" ht="18" customHeight="1">
      <c r="A20" s="1" t="str">
        <f>"19.06.2020"</f>
        <v>19.06.2020</v>
      </c>
      <c r="B20" s="3" t="str">
        <f>CHOOSE(WEEKDAY(DATE(VALUE(RIGHT(H20,4)),VALUE(MID(H20,4,2)),VALUE(LEFT(H20,2))),2),"Montag","Dienstag","Mittwoch","Donnerstag","Freitag","Samstag","Sonntag")</f>
        <v>Freitag</v>
      </c>
      <c r="C20" s="3" t="str">
        <f>IF(OR(WEEKDAY(DATE(VALUE(RIGHT(H20,4)),VALUE(MID(H20,4,2)),VALUE(LEFT(H20,2))),2)&gt;5,D20=1),"Ja","Nein")</f>
        <v>Nein</v>
      </c>
      <c r="D20" s="4">
        <v>0</v>
      </c>
      <c r="E20" s="4">
        <f>ROW()-1</f>
        <v>19</v>
      </c>
      <c r="F20" s="4">
        <f>MONTH(DATE(VALUE(RIGHT(H20,4)),VALUE(MID(H20,4,2)),VALUE(LEFT(H20,2))))</f>
        <v>6</v>
      </c>
      <c r="G20" s="4">
        <f>YEAR(DATE(VALUE(RIGHT(H20,4)),VALUE(MID(H20,4,2)),VALUE(LEFT(H20,2))))</f>
        <v>2020</v>
      </c>
      <c r="H20" s="1" t="str">
        <f>A20</f>
        <v>19.06.2020</v>
      </c>
    </row>
    <row r="21" spans="1:8" ht="18" customHeight="1">
      <c r="A21" s="1" t="str">
        <f>"20.06.2020"</f>
        <v>20.06.2020</v>
      </c>
      <c r="B21" s="3" t="str">
        <f>CHOOSE(WEEKDAY(DATE(VALUE(RIGHT(H21,4)),VALUE(MID(H21,4,2)),VALUE(LEFT(H21,2))),2),"Montag","Dienstag","Mittwoch","Donnerstag","Freitag","Samstag","Sonntag")</f>
        <v>Samstag</v>
      </c>
      <c r="C21" s="3" t="str">
        <f>IF(OR(WEEKDAY(DATE(VALUE(RIGHT(H21,4)),VALUE(MID(H21,4,2)),VALUE(LEFT(H21,2))),2)&gt;5,D21=1),"Ja","Nein")</f>
        <v>Ja</v>
      </c>
      <c r="D21" s="4">
        <v>0</v>
      </c>
      <c r="E21" s="4">
        <f>ROW()-1</f>
        <v>20</v>
      </c>
      <c r="F21" s="4">
        <f>MONTH(DATE(VALUE(RIGHT(H21,4)),VALUE(MID(H21,4,2)),VALUE(LEFT(H21,2))))</f>
        <v>6</v>
      </c>
      <c r="G21" s="4">
        <f>YEAR(DATE(VALUE(RIGHT(H21,4)),VALUE(MID(H21,4,2)),VALUE(LEFT(H21,2))))</f>
        <v>2020</v>
      </c>
      <c r="H21" s="1" t="str">
        <f>A21</f>
        <v>20.06.2020</v>
      </c>
    </row>
    <row r="22" spans="1:8" ht="18" customHeight="1">
      <c r="A22" s="1" t="str">
        <f>"21.06.2020"</f>
        <v>21.06.2020</v>
      </c>
      <c r="B22" s="3" t="str">
        <f>CHOOSE(WEEKDAY(DATE(VALUE(RIGHT(H22,4)),VALUE(MID(H22,4,2)),VALUE(LEFT(H22,2))),2),"Montag","Dienstag","Mittwoch","Donnerstag","Freitag","Samstag","Sonntag")</f>
        <v>Sonntag</v>
      </c>
      <c r="C22" s="3" t="str">
        <f>IF(OR(WEEKDAY(DATE(VALUE(RIGHT(H22,4)),VALUE(MID(H22,4,2)),VALUE(LEFT(H22,2))),2)&gt;5,D22=1),"Ja","Nein")</f>
        <v>Ja</v>
      </c>
      <c r="D22" s="4">
        <v>0</v>
      </c>
      <c r="E22" s="4">
        <f>ROW()-1</f>
        <v>21</v>
      </c>
      <c r="F22" s="4">
        <f>MONTH(DATE(VALUE(RIGHT(H22,4)),VALUE(MID(H22,4,2)),VALUE(LEFT(H22,2))))</f>
        <v>6</v>
      </c>
      <c r="G22" s="4">
        <f>YEAR(DATE(VALUE(RIGHT(H22,4)),VALUE(MID(H22,4,2)),VALUE(LEFT(H22,2))))</f>
        <v>2020</v>
      </c>
      <c r="H22" s="1" t="str">
        <f>A22</f>
        <v>21.06.2020</v>
      </c>
    </row>
    <row r="23" spans="1:8" ht="18" customHeight="1">
      <c r="A23" s="1" t="str">
        <f>"22.06.2020"</f>
        <v>22.06.2020</v>
      </c>
      <c r="B23" s="3" t="str">
        <f>CHOOSE(WEEKDAY(DATE(VALUE(RIGHT(H23,4)),VALUE(MID(H23,4,2)),VALUE(LEFT(H23,2))),2),"Montag","Dienstag","Mittwoch","Donnerstag","Freitag","Samstag","Sonntag")</f>
        <v>Montag</v>
      </c>
      <c r="C23" s="3" t="str">
        <f>IF(OR(WEEKDAY(DATE(VALUE(RIGHT(H23,4)),VALUE(MID(H23,4,2)),VALUE(LEFT(H23,2))),2)&gt;5,D23=1),"Ja","Nein")</f>
        <v>Nein</v>
      </c>
      <c r="D23" s="4">
        <v>0</v>
      </c>
      <c r="E23" s="4">
        <f>ROW()-1</f>
        <v>22</v>
      </c>
      <c r="F23" s="4">
        <f>MONTH(DATE(VALUE(RIGHT(H23,4)),VALUE(MID(H23,4,2)),VALUE(LEFT(H23,2))))</f>
        <v>6</v>
      </c>
      <c r="G23" s="4">
        <f>YEAR(DATE(VALUE(RIGHT(H23,4)),VALUE(MID(H23,4,2)),VALUE(LEFT(H23,2))))</f>
        <v>2020</v>
      </c>
      <c r="H23" s="1" t="str">
        <f>A23</f>
        <v>22.06.2020</v>
      </c>
    </row>
    <row r="24" spans="1:8" ht="18" customHeight="1">
      <c r="A24" s="1" t="str">
        <f>"23.06.2020"</f>
        <v>23.06.2020</v>
      </c>
      <c r="B24" s="3" t="str">
        <f>CHOOSE(WEEKDAY(DATE(VALUE(RIGHT(H24,4)),VALUE(MID(H24,4,2)),VALUE(LEFT(H24,2))),2),"Montag","Dienstag","Mittwoch","Donnerstag","Freitag","Samstag","Sonntag")</f>
        <v>Dienstag</v>
      </c>
      <c r="C24" s="3" t="str">
        <f>IF(OR(WEEKDAY(DATE(VALUE(RIGHT(H24,4)),VALUE(MID(H24,4,2)),VALUE(LEFT(H24,2))),2)&gt;5,D24=1),"Ja","Nein")</f>
        <v>Nein</v>
      </c>
      <c r="D24" s="4">
        <v>0</v>
      </c>
      <c r="E24" s="4">
        <f>ROW()-1</f>
        <v>23</v>
      </c>
      <c r="F24" s="4">
        <f>MONTH(DATE(VALUE(RIGHT(H24,4)),VALUE(MID(H24,4,2)),VALUE(LEFT(H24,2))))</f>
        <v>6</v>
      </c>
      <c r="G24" s="4">
        <f>YEAR(DATE(VALUE(RIGHT(H24,4)),VALUE(MID(H24,4,2)),VALUE(LEFT(H24,2))))</f>
        <v>2020</v>
      </c>
      <c r="H24" s="1" t="str">
        <f>A24</f>
        <v>23.06.2020</v>
      </c>
    </row>
    <row r="25" spans="1:8" ht="18" customHeight="1">
      <c r="A25" s="1" t="str">
        <f>"24.06.2020"</f>
        <v>24.06.2020</v>
      </c>
      <c r="B25" s="3" t="str">
        <f>CHOOSE(WEEKDAY(DATE(VALUE(RIGHT(H25,4)),VALUE(MID(H25,4,2)),VALUE(LEFT(H25,2))),2),"Montag","Dienstag","Mittwoch","Donnerstag","Freitag","Samstag","Sonntag")</f>
        <v>Mittwoch</v>
      </c>
      <c r="C25" s="3" t="str">
        <f>IF(OR(WEEKDAY(DATE(VALUE(RIGHT(H25,4)),VALUE(MID(H25,4,2)),VALUE(LEFT(H25,2))),2)&gt;5,D25=1),"Ja","Nein")</f>
        <v>Nein</v>
      </c>
      <c r="D25" s="4">
        <v>0</v>
      </c>
      <c r="E25" s="4">
        <f>ROW()-1</f>
        <v>24</v>
      </c>
      <c r="F25" s="4">
        <f>MONTH(DATE(VALUE(RIGHT(H25,4)),VALUE(MID(H25,4,2)),VALUE(LEFT(H25,2))))</f>
        <v>6</v>
      </c>
      <c r="G25" s="4">
        <f>YEAR(DATE(VALUE(RIGHT(H25,4)),VALUE(MID(H25,4,2)),VALUE(LEFT(H25,2))))</f>
        <v>2020</v>
      </c>
      <c r="H25" s="1" t="str">
        <f>A25</f>
        <v>24.06.2020</v>
      </c>
    </row>
    <row r="26" spans="1:8" ht="18" customHeight="1">
      <c r="A26" s="1" t="str">
        <f>"25.06.2020"</f>
        <v>25.06.2020</v>
      </c>
      <c r="B26" s="3" t="str">
        <f>CHOOSE(WEEKDAY(DATE(VALUE(RIGHT(H26,4)),VALUE(MID(H26,4,2)),VALUE(LEFT(H26,2))),2),"Montag","Dienstag","Mittwoch","Donnerstag","Freitag","Samstag","Sonntag")</f>
        <v>Donnerstag</v>
      </c>
      <c r="C26" s="3" t="str">
        <f>IF(OR(WEEKDAY(DATE(VALUE(RIGHT(H26,4)),VALUE(MID(H26,4,2)),VALUE(LEFT(H26,2))),2)&gt;5,D26=1),"Ja","Nein")</f>
        <v>Nein</v>
      </c>
      <c r="D26" s="4">
        <v>0</v>
      </c>
      <c r="E26" s="4">
        <f>ROW()-1</f>
        <v>25</v>
      </c>
      <c r="F26" s="4">
        <f>MONTH(DATE(VALUE(RIGHT(H26,4)),VALUE(MID(H26,4,2)),VALUE(LEFT(H26,2))))</f>
        <v>6</v>
      </c>
      <c r="G26" s="4">
        <f>YEAR(DATE(VALUE(RIGHT(H26,4)),VALUE(MID(H26,4,2)),VALUE(LEFT(H26,2))))</f>
        <v>2020</v>
      </c>
      <c r="H26" s="1" t="str">
        <f>A26</f>
        <v>25.06.2020</v>
      </c>
    </row>
    <row r="27" spans="1:8" ht="18" customHeight="1">
      <c r="A27" s="1" t="str">
        <f>"26.06.2020"</f>
        <v>26.06.2020</v>
      </c>
      <c r="B27" s="3" t="str">
        <f>CHOOSE(WEEKDAY(DATE(VALUE(RIGHT(H27,4)),VALUE(MID(H27,4,2)),VALUE(LEFT(H27,2))),2),"Montag","Dienstag","Mittwoch","Donnerstag","Freitag","Samstag","Sonntag")</f>
        <v>Freitag</v>
      </c>
      <c r="C27" s="3" t="str">
        <f>IF(OR(WEEKDAY(DATE(VALUE(RIGHT(H27,4)),VALUE(MID(H27,4,2)),VALUE(LEFT(H27,2))),2)&gt;5,D27=1),"Ja","Nein")</f>
        <v>Nein</v>
      </c>
      <c r="D27" s="4">
        <v>0</v>
      </c>
      <c r="E27" s="4">
        <f>ROW()-1</f>
        <v>26</v>
      </c>
      <c r="F27" s="4">
        <f>MONTH(DATE(VALUE(RIGHT(H27,4)),VALUE(MID(H27,4,2)),VALUE(LEFT(H27,2))))</f>
        <v>6</v>
      </c>
      <c r="G27" s="4">
        <f>YEAR(DATE(VALUE(RIGHT(H27,4)),VALUE(MID(H27,4,2)),VALUE(LEFT(H27,2))))</f>
        <v>2020</v>
      </c>
      <c r="H27" s="1" t="str">
        <f>A27</f>
        <v>26.06.2020</v>
      </c>
    </row>
    <row r="28" spans="1:8" ht="18" customHeight="1">
      <c r="A28" s="1" t="str">
        <f>"27.06.2020"</f>
        <v>27.06.2020</v>
      </c>
      <c r="B28" s="3" t="str">
        <f>CHOOSE(WEEKDAY(DATE(VALUE(RIGHT(H28,4)),VALUE(MID(H28,4,2)),VALUE(LEFT(H28,2))),2),"Montag","Dienstag","Mittwoch","Donnerstag","Freitag","Samstag","Sonntag")</f>
        <v>Samstag</v>
      </c>
      <c r="C28" s="3" t="str">
        <f>IF(OR(WEEKDAY(DATE(VALUE(RIGHT(H28,4)),VALUE(MID(H28,4,2)),VALUE(LEFT(H28,2))),2)&gt;5,D28=1),"Ja","Nein")</f>
        <v>Ja</v>
      </c>
      <c r="D28" s="4">
        <v>0</v>
      </c>
      <c r="E28" s="4">
        <f>ROW()-1</f>
        <v>27</v>
      </c>
      <c r="F28" s="4">
        <f>MONTH(DATE(VALUE(RIGHT(H28,4)),VALUE(MID(H28,4,2)),VALUE(LEFT(H28,2))))</f>
        <v>6</v>
      </c>
      <c r="G28" s="4">
        <f>YEAR(DATE(VALUE(RIGHT(H28,4)),VALUE(MID(H28,4,2)),VALUE(LEFT(H28,2))))</f>
        <v>2020</v>
      </c>
      <c r="H28" s="1" t="str">
        <f>A28</f>
        <v>27.06.2020</v>
      </c>
    </row>
    <row r="29" spans="1:8" ht="18" customHeight="1">
      <c r="A29" s="1" t="str">
        <f>"28.06.2020"</f>
        <v>28.06.2020</v>
      </c>
      <c r="B29" s="3" t="str">
        <f>CHOOSE(WEEKDAY(DATE(VALUE(RIGHT(H29,4)),VALUE(MID(H29,4,2)),VALUE(LEFT(H29,2))),2),"Montag","Dienstag","Mittwoch","Donnerstag","Freitag","Samstag","Sonntag")</f>
        <v>Sonntag</v>
      </c>
      <c r="C29" s="3" t="str">
        <f>IF(OR(WEEKDAY(DATE(VALUE(RIGHT(H29,4)),VALUE(MID(H29,4,2)),VALUE(LEFT(H29,2))),2)&gt;5,D29=1),"Ja","Nein")</f>
        <v>Ja</v>
      </c>
      <c r="D29" s="4">
        <v>0</v>
      </c>
      <c r="E29" s="4">
        <f>ROW()-1</f>
        <v>28</v>
      </c>
      <c r="F29" s="4">
        <f>MONTH(DATE(VALUE(RIGHT(H29,4)),VALUE(MID(H29,4,2)),VALUE(LEFT(H29,2))))</f>
        <v>6</v>
      </c>
      <c r="G29" s="4">
        <f>YEAR(DATE(VALUE(RIGHT(H29,4)),VALUE(MID(H29,4,2)),VALUE(LEFT(H29,2))))</f>
        <v>2020</v>
      </c>
      <c r="H29" s="1" t="str">
        <f>A29</f>
        <v>28.06.2020</v>
      </c>
    </row>
    <row r="30" spans="1:8" ht="18" customHeight="1">
      <c r="A30" s="1" t="str">
        <f>"29.06.2020"</f>
        <v>29.06.2020</v>
      </c>
      <c r="B30" s="3" t="str">
        <f>CHOOSE(WEEKDAY(DATE(VALUE(RIGHT(H30,4)),VALUE(MID(H30,4,2)),VALUE(LEFT(H30,2))),2),"Montag","Dienstag","Mittwoch","Donnerstag","Freitag","Samstag","Sonntag")</f>
        <v>Montag</v>
      </c>
      <c r="C30" s="3" t="str">
        <f>IF(OR(WEEKDAY(DATE(VALUE(RIGHT(H30,4)),VALUE(MID(H30,4,2)),VALUE(LEFT(H30,2))),2)&gt;5,D30=1),"Ja","Nein")</f>
        <v>Nein</v>
      </c>
      <c r="D30" s="4">
        <v>0</v>
      </c>
      <c r="E30" s="4">
        <f>ROW()-1</f>
        <v>29</v>
      </c>
      <c r="F30" s="4">
        <f>MONTH(DATE(VALUE(RIGHT(H30,4)),VALUE(MID(H30,4,2)),VALUE(LEFT(H30,2))))</f>
        <v>6</v>
      </c>
      <c r="G30" s="4">
        <f>YEAR(DATE(VALUE(RIGHT(H30,4)),VALUE(MID(H30,4,2)),VALUE(LEFT(H30,2))))</f>
        <v>2020</v>
      </c>
      <c r="H30" s="1" t="str">
        <f>A30</f>
        <v>29.06.2020</v>
      </c>
    </row>
    <row r="31" spans="1:8" ht="18" customHeight="1">
      <c r="A31" s="1" t="str">
        <f>"30.06.2020"</f>
        <v>30.06.2020</v>
      </c>
      <c r="B31" s="3" t="str">
        <f>CHOOSE(WEEKDAY(DATE(VALUE(RIGHT(H31,4)),VALUE(MID(H31,4,2)),VALUE(LEFT(H31,2))),2),"Montag","Dienstag","Mittwoch","Donnerstag","Freitag","Samstag","Sonntag")</f>
        <v>Dienstag</v>
      </c>
      <c r="C31" s="3" t="str">
        <f>IF(OR(WEEKDAY(DATE(VALUE(RIGHT(H31,4)),VALUE(MID(H31,4,2)),VALUE(LEFT(H31,2))),2)&gt;5,D31=1),"Ja","Nein")</f>
        <v>Nein</v>
      </c>
      <c r="D31" s="4">
        <v>0</v>
      </c>
      <c r="E31" s="4">
        <f>ROW()-1</f>
        <v>30</v>
      </c>
      <c r="F31" s="4">
        <f>MONTH(DATE(VALUE(RIGHT(H31,4)),VALUE(MID(H31,4,2)),VALUE(LEFT(H31,2))))</f>
        <v>6</v>
      </c>
      <c r="G31" s="4">
        <f>YEAR(DATE(VALUE(RIGHT(H31,4)),VALUE(MID(H31,4,2)),VALUE(LEFT(H31,2))))</f>
        <v>2020</v>
      </c>
      <c r="H31" s="1" t="str">
        <f>A31</f>
        <v>30.06.2020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zoomScaleSheetLayoutView="100" workbookViewId="0">
      <selection activeCell="G3" sqref="G3"/>
    </sheetView>
  </sheetViews>
  <sheetFormatPr defaultRowHeight="15"/>
  <cols>
    <col min="1" max="1" width="11" customWidth="1"/>
    <col min="2" max="2" width="9.125" customWidth="1"/>
    <col min="3" max="3" width="12.375" customWidth="1"/>
    <col min="4" max="5" width="9.375" customWidth="1"/>
    <col min="6" max="6" width="12.875" customWidth="1"/>
    <col min="7" max="7" width="10.25" customWidth="1"/>
  </cols>
  <sheetData>
    <row r="1" spans="1:7" ht="18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ht="18" customHeight="1">
      <c r="A2" s="3" t="s">
        <v>15</v>
      </c>
      <c r="B2" s="4">
        <v>1</v>
      </c>
      <c r="C2" s="3" t="s">
        <v>16</v>
      </c>
      <c r="D2" s="1" t="str">
        <f>F2</f>
        <v>02.06.2020</v>
      </c>
      <c r="E2" s="1" t="str">
        <f>G2</f>
        <v>03.06.2020</v>
      </c>
      <c r="F2" s="1" t="str">
        <f>"02.06.2020"</f>
        <v>02.06.2020</v>
      </c>
      <c r="G2" s="1" t="str">
        <f>"03.06.2020"</f>
        <v>03.06.2020</v>
      </c>
    </row>
    <row r="3" spans="1:7" ht="18" customHeight="1">
      <c r="A3" s="3" t="s">
        <v>15</v>
      </c>
      <c r="B3" s="4">
        <v>2</v>
      </c>
      <c r="C3" s="3" t="s">
        <v>16</v>
      </c>
      <c r="D3" s="1" t="str">
        <f>F3</f>
        <v>08.06.2020</v>
      </c>
      <c r="E3" s="1" t="str">
        <f>G3</f>
        <v>10.06.2020</v>
      </c>
      <c r="F3" s="1" t="str">
        <f>"08.06.2020"</f>
        <v>08.06.2020</v>
      </c>
      <c r="G3" s="1" t="str">
        <f>"10.06.2020"</f>
        <v>10.06.2020</v>
      </c>
    </row>
    <row r="4" spans="1:7" ht="18" customHeight="1">
      <c r="A4" s="3" t="s">
        <v>17</v>
      </c>
      <c r="B4" s="4">
        <v>3</v>
      </c>
      <c r="C4" s="3" t="s">
        <v>18</v>
      </c>
      <c r="D4" s="1" t="str">
        <f>F4</f>
        <v>05.06.2020</v>
      </c>
      <c r="E4" s="1" t="str">
        <f>G4</f>
        <v>05.06.2020</v>
      </c>
      <c r="F4" s="1" t="str">
        <f>"05.06.2020"</f>
        <v>05.06.2020</v>
      </c>
      <c r="G4" s="1" t="str">
        <f>"05.06.2020"</f>
        <v>05.06.2020</v>
      </c>
    </row>
    <row r="5" spans="1:7" ht="18" customHeight="1">
      <c r="A5" s="3" t="s">
        <v>17</v>
      </c>
      <c r="B5" s="4">
        <v>4</v>
      </c>
      <c r="C5" s="3" t="s">
        <v>16</v>
      </c>
      <c r="D5" s="1" t="str">
        <f>F5</f>
        <v>15.06.2020</v>
      </c>
      <c r="E5" s="1" t="str">
        <f>G5</f>
        <v>17.06.2020</v>
      </c>
      <c r="F5" s="1" t="str">
        <f>"15.06.2020"</f>
        <v>15.06.2020</v>
      </c>
      <c r="G5" s="1" t="str">
        <f>"17.06.2020"</f>
        <v>17.06.2020</v>
      </c>
    </row>
    <row r="6" spans="1:7" ht="18" customHeight="1">
      <c r="A6" s="3" t="s">
        <v>19</v>
      </c>
      <c r="B6" s="4">
        <v>5</v>
      </c>
      <c r="C6" s="3" t="s">
        <v>16</v>
      </c>
      <c r="D6" s="1" t="str">
        <f>F6</f>
        <v>26.06.2020</v>
      </c>
      <c r="E6" s="1" t="str">
        <f>G6</f>
        <v>26.06.2020</v>
      </c>
      <c r="F6" s="1" t="str">
        <f>"26.06.2020"</f>
        <v>26.06.2020</v>
      </c>
      <c r="G6" s="1" t="str">
        <f>"26.06.2020"</f>
        <v>26.06.2020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zoomScaleNormal="100" zoomScaleSheetLayoutView="100" workbookViewId="0"/>
  </sheetViews>
  <sheetFormatPr defaultRowHeight="15"/>
  <cols>
    <col min="1" max="3" width="13" customWidth="1"/>
    <col min="4" max="6" width="15" customWidth="1"/>
  </cols>
  <sheetData>
    <row r="1" spans="1:6" ht="18" customHeight="1">
      <c r="A1" s="2" t="s">
        <v>8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18" customHeight="1">
      <c r="A2" s="3" t="s">
        <v>15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</row>
    <row r="3" spans="1:6" ht="18" customHeight="1">
      <c r="A3" s="3" t="s">
        <v>17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29</v>
      </c>
    </row>
    <row r="4" spans="1:6" ht="18" customHeight="1">
      <c r="A4" s="3" t="s">
        <v>19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Normal="100" zoomScaleSheetLayoutView="100" workbookViewId="0"/>
  </sheetViews>
  <sheetFormatPr defaultRowHeight="15"/>
  <cols>
    <col min="1" max="1" width="14" customWidth="1"/>
    <col min="2" max="2" width="18" customWidth="1"/>
  </cols>
  <sheetData>
    <row r="1" spans="1:2" ht="18" customHeight="1">
      <c r="A1" s="2" t="s">
        <v>10</v>
      </c>
      <c r="B1" s="2" t="s">
        <v>38</v>
      </c>
    </row>
    <row r="2" spans="1:2" ht="18" customHeight="1">
      <c r="A2" s="3" t="s">
        <v>16</v>
      </c>
      <c r="B2" s="3" t="s">
        <v>39</v>
      </c>
    </row>
    <row r="3" spans="1:2" ht="18" customHeight="1">
      <c r="A3" s="3" t="s">
        <v>18</v>
      </c>
      <c r="B3" s="3" t="s">
        <v>40</v>
      </c>
    </row>
    <row r="4" spans="1:2" ht="18" customHeight="1">
      <c r="A4" s="3" t="s">
        <v>41</v>
      </c>
      <c r="B4" s="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zoomScaleNormal="100" zoomScaleSheetLayoutView="100" workbookViewId="0">
      <selection activeCell="E13" sqref="E13"/>
    </sheetView>
  </sheetViews>
  <sheetFormatPr defaultRowHeight="15"/>
  <cols>
    <col min="1" max="1" width="10" customWidth="1"/>
    <col min="2" max="3" width="13" customWidth="1"/>
    <col min="4" max="4" width="12" customWidth="1"/>
    <col min="5" max="7" width="10" customWidth="1"/>
    <col min="8" max="8" width="9.25" customWidth="1"/>
  </cols>
  <sheetData>
    <row r="1" spans="1:8" ht="18" customHeight="1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</row>
    <row r="2" spans="1:8" ht="18" customHeight="1">
      <c r="A2" s="4">
        <f>Kalender!E2</f>
        <v>1</v>
      </c>
      <c r="B2" s="1" t="str">
        <f>Kalender!A2</f>
        <v>01.06.2020</v>
      </c>
      <c r="C2" s="3" t="str">
        <f>Kalender!B2</f>
        <v>Montag</v>
      </c>
      <c r="D2" s="3" t="str">
        <f>Kalender!C2</f>
        <v>Nein</v>
      </c>
      <c r="E2" s="4">
        <f>Kalender!D2</f>
        <v>0</v>
      </c>
      <c r="F2" s="4">
        <f>Kalender!F2</f>
        <v>6</v>
      </c>
      <c r="G2" s="4">
        <f>Kalender!G2</f>
        <v>2020</v>
      </c>
      <c r="H2" s="1" t="str">
        <f>Kalender!H2</f>
        <v>01.06.2020</v>
      </c>
    </row>
    <row r="3" spans="1:8" ht="18" customHeight="1">
      <c r="A3" s="4">
        <f>Kalender!E3</f>
        <v>2</v>
      </c>
      <c r="B3" s="1" t="str">
        <f>Kalender!A3</f>
        <v>02.06.2020</v>
      </c>
      <c r="C3" s="3" t="str">
        <f>Kalender!B3</f>
        <v>Dienstag</v>
      </c>
      <c r="D3" s="3" t="str">
        <f>Kalender!C3</f>
        <v>Nein</v>
      </c>
      <c r="E3" s="4">
        <f>Kalender!D3</f>
        <v>0</v>
      </c>
      <c r="F3" s="4">
        <f>Kalender!F3</f>
        <v>6</v>
      </c>
      <c r="G3" s="4">
        <f>Kalender!G3</f>
        <v>2020</v>
      </c>
      <c r="H3" s="1" t="str">
        <f>Kalender!H3</f>
        <v>02.06.2020</v>
      </c>
    </row>
    <row r="4" spans="1:8" ht="18" customHeight="1">
      <c r="A4" s="4">
        <f>Kalender!E4</f>
        <v>3</v>
      </c>
      <c r="B4" s="1" t="str">
        <f>Kalender!A4</f>
        <v>03.06.2020</v>
      </c>
      <c r="C4" s="3" t="str">
        <f>Kalender!B4</f>
        <v>Mittwoch</v>
      </c>
      <c r="D4" s="3" t="str">
        <f>Kalender!C4</f>
        <v>Nein</v>
      </c>
      <c r="E4" s="4">
        <f>Kalender!D4</f>
        <v>0</v>
      </c>
      <c r="F4" s="4">
        <f>Kalender!F4</f>
        <v>6</v>
      </c>
      <c r="G4" s="4">
        <f>Kalender!G4</f>
        <v>2020</v>
      </c>
      <c r="H4" s="1" t="str">
        <f>Kalender!H4</f>
        <v>03.06.2020</v>
      </c>
    </row>
    <row r="5" spans="1:8" ht="18" customHeight="1">
      <c r="A5" s="4">
        <f>Kalender!E5</f>
        <v>4</v>
      </c>
      <c r="B5" s="1" t="str">
        <f>Kalender!A5</f>
        <v>04.06.2020</v>
      </c>
      <c r="C5" s="3" t="str">
        <f>Kalender!B5</f>
        <v>Donnerstag</v>
      </c>
      <c r="D5" s="3" t="str">
        <f>Kalender!C5</f>
        <v>Nein</v>
      </c>
      <c r="E5" s="4">
        <f>Kalender!D5</f>
        <v>0</v>
      </c>
      <c r="F5" s="4">
        <f>Kalender!F5</f>
        <v>6</v>
      </c>
      <c r="G5" s="4">
        <f>Kalender!G5</f>
        <v>2020</v>
      </c>
      <c r="H5" s="1" t="str">
        <f>Kalender!H5</f>
        <v>04.06.2020</v>
      </c>
    </row>
    <row r="6" spans="1:8" ht="18" customHeight="1">
      <c r="A6" s="4">
        <f>Kalender!E6</f>
        <v>5</v>
      </c>
      <c r="B6" s="1" t="str">
        <f>Kalender!A6</f>
        <v>05.06.2020</v>
      </c>
      <c r="C6" s="3" t="str">
        <f>Kalender!B6</f>
        <v>Freitag</v>
      </c>
      <c r="D6" s="3" t="str">
        <f>Kalender!C6</f>
        <v>Nein</v>
      </c>
      <c r="E6" s="4">
        <f>Kalender!D6</f>
        <v>0</v>
      </c>
      <c r="F6" s="4">
        <f>Kalender!F6</f>
        <v>6</v>
      </c>
      <c r="G6" s="4">
        <f>Kalender!G6</f>
        <v>2020</v>
      </c>
      <c r="H6" s="1" t="str">
        <f>Kalender!H6</f>
        <v>05.06.2020</v>
      </c>
    </row>
    <row r="7" spans="1:8" ht="18" customHeight="1">
      <c r="A7" s="4">
        <f>Kalender!E7</f>
        <v>6</v>
      </c>
      <c r="B7" s="1" t="str">
        <f>Kalender!A7</f>
        <v>06.06.2020</v>
      </c>
      <c r="C7" s="3" t="str">
        <f>Kalender!B7</f>
        <v>Samstag</v>
      </c>
      <c r="D7" s="3" t="str">
        <f>Kalender!C7</f>
        <v>Ja</v>
      </c>
      <c r="E7" s="4">
        <f>Kalender!D7</f>
        <v>0</v>
      </c>
      <c r="F7" s="4">
        <f>Kalender!F7</f>
        <v>6</v>
      </c>
      <c r="G7" s="4">
        <f>Kalender!G7</f>
        <v>2020</v>
      </c>
      <c r="H7" s="1" t="str">
        <f>Kalender!H7</f>
        <v>06.06.2020</v>
      </c>
    </row>
    <row r="8" spans="1:8" ht="18" customHeight="1">
      <c r="A8" s="4">
        <f>Kalender!E8</f>
        <v>7</v>
      </c>
      <c r="B8" s="1" t="str">
        <f>Kalender!A8</f>
        <v>07.06.2020</v>
      </c>
      <c r="C8" s="3" t="str">
        <f>Kalender!B8</f>
        <v>Sonntag</v>
      </c>
      <c r="D8" s="3" t="str">
        <f>Kalender!C8</f>
        <v>Ja</v>
      </c>
      <c r="E8" s="4">
        <f>Kalender!D8</f>
        <v>0</v>
      </c>
      <c r="F8" s="4">
        <f>Kalender!F8</f>
        <v>6</v>
      </c>
      <c r="G8" s="4">
        <f>Kalender!G8</f>
        <v>2020</v>
      </c>
      <c r="H8" s="1" t="str">
        <f>Kalender!H8</f>
        <v>07.06.2020</v>
      </c>
    </row>
    <row r="9" spans="1:8" ht="18" customHeight="1">
      <c r="A9" s="4">
        <f>Kalender!E9</f>
        <v>8</v>
      </c>
      <c r="B9" s="1" t="str">
        <f>Kalender!A9</f>
        <v>08.06.2020</v>
      </c>
      <c r="C9" s="3" t="str">
        <f>Kalender!B9</f>
        <v>Montag</v>
      </c>
      <c r="D9" s="3" t="str">
        <f>Kalender!C9</f>
        <v>Nein</v>
      </c>
      <c r="E9" s="4">
        <f>Kalender!D9</f>
        <v>0</v>
      </c>
      <c r="F9" s="4">
        <f>Kalender!F9</f>
        <v>6</v>
      </c>
      <c r="G9" s="4">
        <f>Kalender!G9</f>
        <v>2020</v>
      </c>
      <c r="H9" s="1" t="str">
        <f>Kalender!H9</f>
        <v>08.06.2020</v>
      </c>
    </row>
    <row r="10" spans="1:8" ht="18" customHeight="1">
      <c r="A10" s="4">
        <f>Kalender!E10</f>
        <v>9</v>
      </c>
      <c r="B10" s="1" t="str">
        <f>Kalender!A10</f>
        <v>09.06.2020</v>
      </c>
      <c r="C10" s="3" t="str">
        <f>Kalender!B10</f>
        <v>Dienstag</v>
      </c>
      <c r="D10" s="3" t="str">
        <f>Kalender!C10</f>
        <v>Nein</v>
      </c>
      <c r="E10" s="4">
        <f>Kalender!D10</f>
        <v>0</v>
      </c>
      <c r="F10" s="4">
        <f>Kalender!F10</f>
        <v>6</v>
      </c>
      <c r="G10" s="4">
        <f>Kalender!G10</f>
        <v>2020</v>
      </c>
      <c r="H10" s="1" t="str">
        <f>Kalender!H10</f>
        <v>09.06.2020</v>
      </c>
    </row>
    <row r="11" spans="1:8" ht="18" customHeight="1">
      <c r="A11" s="4">
        <f>Kalender!E11</f>
        <v>10</v>
      </c>
      <c r="B11" s="1" t="str">
        <f>Kalender!A11</f>
        <v>10.06.2020</v>
      </c>
      <c r="C11" s="3" t="str">
        <f>Kalender!B11</f>
        <v>Mittwoch</v>
      </c>
      <c r="D11" s="3" t="str">
        <f>Kalender!C11</f>
        <v>Nein</v>
      </c>
      <c r="E11" s="4">
        <f>Kalender!D11</f>
        <v>0</v>
      </c>
      <c r="F11" s="4">
        <f>Kalender!F11</f>
        <v>6</v>
      </c>
      <c r="G11" s="4">
        <f>Kalender!G11</f>
        <v>2020</v>
      </c>
      <c r="H11" s="1" t="str">
        <f>Kalender!H11</f>
        <v>10.06.2020</v>
      </c>
    </row>
    <row r="12" spans="1:8" ht="18" customHeight="1">
      <c r="A12" s="4">
        <f>Kalender!E12</f>
        <v>11</v>
      </c>
      <c r="B12" s="1" t="str">
        <f>Kalender!A12</f>
        <v>11.06.2020</v>
      </c>
      <c r="C12" s="3" t="str">
        <f>Kalender!B12</f>
        <v>Donnerstag</v>
      </c>
      <c r="D12" s="3" t="str">
        <f>Kalender!C12</f>
        <v>Nein</v>
      </c>
      <c r="E12" s="4">
        <f>Kalender!D12</f>
        <v>0</v>
      </c>
      <c r="F12" s="4">
        <f>Kalender!F12</f>
        <v>6</v>
      </c>
      <c r="G12" s="4">
        <f>Kalender!G12</f>
        <v>2020</v>
      </c>
      <c r="H12" s="1" t="str">
        <f>Kalender!H12</f>
        <v>11.06.2020</v>
      </c>
    </row>
    <row r="13" spans="1:8" ht="18" customHeight="1">
      <c r="A13" s="4">
        <f>Kalender!E13</f>
        <v>12</v>
      </c>
      <c r="B13" s="1" t="str">
        <f>Kalender!A13</f>
        <v>12.06.2020</v>
      </c>
      <c r="C13" s="3" t="str">
        <f>Kalender!B13</f>
        <v>Freitag</v>
      </c>
      <c r="D13" s="3" t="str">
        <f>Kalender!C13</f>
        <v>Nein</v>
      </c>
      <c r="E13" s="4">
        <f>Kalender!D13</f>
        <v>0</v>
      </c>
      <c r="F13" s="4">
        <f>Kalender!F13</f>
        <v>6</v>
      </c>
      <c r="G13" s="4">
        <f>Kalender!G13</f>
        <v>2020</v>
      </c>
      <c r="H13" s="1" t="str">
        <f>Kalender!H13</f>
        <v>12.06.2020</v>
      </c>
    </row>
    <row r="14" spans="1:8" ht="18" customHeight="1">
      <c r="A14" s="4">
        <f>Kalender!E14</f>
        <v>13</v>
      </c>
      <c r="B14" s="1" t="str">
        <f>Kalender!A14</f>
        <v>13.06.2020</v>
      </c>
      <c r="C14" s="3" t="str">
        <f>Kalender!B14</f>
        <v>Samstag</v>
      </c>
      <c r="D14" s="3" t="str">
        <f>Kalender!C14</f>
        <v>Ja</v>
      </c>
      <c r="E14" s="4">
        <f>Kalender!D14</f>
        <v>0</v>
      </c>
      <c r="F14" s="4">
        <f>Kalender!F14</f>
        <v>6</v>
      </c>
      <c r="G14" s="4">
        <f>Kalender!G14</f>
        <v>2020</v>
      </c>
      <c r="H14" s="1" t="str">
        <f>Kalender!H14</f>
        <v>13.06.2020</v>
      </c>
    </row>
    <row r="15" spans="1:8" ht="18" customHeight="1">
      <c r="A15" s="4">
        <f>Kalender!E15</f>
        <v>14</v>
      </c>
      <c r="B15" s="1" t="str">
        <f>Kalender!A15</f>
        <v>14.06.2020</v>
      </c>
      <c r="C15" s="3" t="str">
        <f>Kalender!B15</f>
        <v>Sonntag</v>
      </c>
      <c r="D15" s="3" t="str">
        <f>Kalender!C15</f>
        <v>Ja</v>
      </c>
      <c r="E15" s="4">
        <f>Kalender!D15</f>
        <v>0</v>
      </c>
      <c r="F15" s="4">
        <f>Kalender!F15</f>
        <v>6</v>
      </c>
      <c r="G15" s="4">
        <f>Kalender!G15</f>
        <v>2020</v>
      </c>
      <c r="H15" s="1" t="str">
        <f>Kalender!H15</f>
        <v>14.06.2020</v>
      </c>
    </row>
    <row r="16" spans="1:8" ht="18" customHeight="1">
      <c r="A16" s="4">
        <f>Kalender!E16</f>
        <v>15</v>
      </c>
      <c r="B16" s="1" t="str">
        <f>Kalender!A16</f>
        <v>15.06.2020</v>
      </c>
      <c r="C16" s="3" t="str">
        <f>Kalender!B16</f>
        <v>Montag</v>
      </c>
      <c r="D16" s="3" t="str">
        <f>Kalender!C16</f>
        <v>Nein</v>
      </c>
      <c r="E16" s="4">
        <f>Kalender!D16</f>
        <v>0</v>
      </c>
      <c r="F16" s="4">
        <f>Kalender!F16</f>
        <v>6</v>
      </c>
      <c r="G16" s="4">
        <f>Kalender!G16</f>
        <v>2020</v>
      </c>
      <c r="H16" s="1" t="str">
        <f>Kalender!H16</f>
        <v>15.06.2020</v>
      </c>
    </row>
    <row r="17" spans="1:8" ht="18" customHeight="1">
      <c r="A17" s="4">
        <f>Kalender!E17</f>
        <v>16</v>
      </c>
      <c r="B17" s="1" t="str">
        <f>Kalender!A17</f>
        <v>16.06.2020</v>
      </c>
      <c r="C17" s="3" t="str">
        <f>Kalender!B17</f>
        <v>Dienstag</v>
      </c>
      <c r="D17" s="3" t="str">
        <f>Kalender!C17</f>
        <v>Nein</v>
      </c>
      <c r="E17" s="4">
        <f>Kalender!D17</f>
        <v>0</v>
      </c>
      <c r="F17" s="4">
        <f>Kalender!F17</f>
        <v>6</v>
      </c>
      <c r="G17" s="4">
        <f>Kalender!G17</f>
        <v>2020</v>
      </c>
      <c r="H17" s="1" t="str">
        <f>Kalender!H17</f>
        <v>16.06.2020</v>
      </c>
    </row>
    <row r="18" spans="1:8" ht="18" customHeight="1">
      <c r="A18" s="4">
        <f>Kalender!E18</f>
        <v>17</v>
      </c>
      <c r="B18" s="1" t="str">
        <f>Kalender!A18</f>
        <v>17.06.2020</v>
      </c>
      <c r="C18" s="3" t="str">
        <f>Kalender!B18</f>
        <v>Mittwoch</v>
      </c>
      <c r="D18" s="3" t="str">
        <f>Kalender!C18</f>
        <v>Nein</v>
      </c>
      <c r="E18" s="4">
        <f>Kalender!D18</f>
        <v>0</v>
      </c>
      <c r="F18" s="4">
        <f>Kalender!F18</f>
        <v>6</v>
      </c>
      <c r="G18" s="4">
        <f>Kalender!G18</f>
        <v>2020</v>
      </c>
      <c r="H18" s="1" t="str">
        <f>Kalender!H18</f>
        <v>17.06.2020</v>
      </c>
    </row>
    <row r="19" spans="1:8" ht="18" customHeight="1">
      <c r="A19" s="4">
        <f>Kalender!E19</f>
        <v>18</v>
      </c>
      <c r="B19" s="1" t="str">
        <f>Kalender!A19</f>
        <v>18.06.2020</v>
      </c>
      <c r="C19" s="3" t="str">
        <f>Kalender!B19</f>
        <v>Donnerstag</v>
      </c>
      <c r="D19" s="3" t="str">
        <f>Kalender!C19</f>
        <v>Nein</v>
      </c>
      <c r="E19" s="4">
        <f>Kalender!D19</f>
        <v>0</v>
      </c>
      <c r="F19" s="4">
        <f>Kalender!F19</f>
        <v>6</v>
      </c>
      <c r="G19" s="4">
        <f>Kalender!G19</f>
        <v>2020</v>
      </c>
      <c r="H19" s="1" t="str">
        <f>Kalender!H19</f>
        <v>18.06.2020</v>
      </c>
    </row>
    <row r="20" spans="1:8" ht="18" customHeight="1">
      <c r="A20" s="4">
        <f>Kalender!E20</f>
        <v>19</v>
      </c>
      <c r="B20" s="1" t="str">
        <f>Kalender!A20</f>
        <v>19.06.2020</v>
      </c>
      <c r="C20" s="3" t="str">
        <f>Kalender!B20</f>
        <v>Freitag</v>
      </c>
      <c r="D20" s="3" t="str">
        <f>Kalender!C20</f>
        <v>Nein</v>
      </c>
      <c r="E20" s="4">
        <f>Kalender!D20</f>
        <v>0</v>
      </c>
      <c r="F20" s="4">
        <f>Kalender!F20</f>
        <v>6</v>
      </c>
      <c r="G20" s="4">
        <f>Kalender!G20</f>
        <v>2020</v>
      </c>
      <c r="H20" s="1" t="str">
        <f>Kalender!H20</f>
        <v>19.06.2020</v>
      </c>
    </row>
    <row r="21" spans="1:8" ht="18" customHeight="1">
      <c r="A21" s="4">
        <f>Kalender!E21</f>
        <v>20</v>
      </c>
      <c r="B21" s="1" t="str">
        <f>Kalender!A21</f>
        <v>20.06.2020</v>
      </c>
      <c r="C21" s="3" t="str">
        <f>Kalender!B21</f>
        <v>Samstag</v>
      </c>
      <c r="D21" s="3" t="str">
        <f>Kalender!C21</f>
        <v>Ja</v>
      </c>
      <c r="E21" s="4">
        <f>Kalender!D21</f>
        <v>0</v>
      </c>
      <c r="F21" s="4">
        <f>Kalender!F21</f>
        <v>6</v>
      </c>
      <c r="G21" s="4">
        <f>Kalender!G21</f>
        <v>2020</v>
      </c>
      <c r="H21" s="1" t="str">
        <f>Kalender!H21</f>
        <v>20.06.2020</v>
      </c>
    </row>
    <row r="22" spans="1:8" ht="18" customHeight="1">
      <c r="A22" s="4">
        <f>Kalender!E22</f>
        <v>21</v>
      </c>
      <c r="B22" s="1" t="str">
        <f>Kalender!A22</f>
        <v>21.06.2020</v>
      </c>
      <c r="C22" s="3" t="str">
        <f>Kalender!B22</f>
        <v>Sonntag</v>
      </c>
      <c r="D22" s="3" t="str">
        <f>Kalender!C22</f>
        <v>Ja</v>
      </c>
      <c r="E22" s="4">
        <f>Kalender!D22</f>
        <v>0</v>
      </c>
      <c r="F22" s="4">
        <f>Kalender!F22</f>
        <v>6</v>
      </c>
      <c r="G22" s="4">
        <f>Kalender!G22</f>
        <v>2020</v>
      </c>
      <c r="H22" s="1" t="str">
        <f>Kalender!H22</f>
        <v>21.06.2020</v>
      </c>
    </row>
    <row r="23" spans="1:8" ht="18" customHeight="1">
      <c r="A23" s="4">
        <f>Kalender!E23</f>
        <v>22</v>
      </c>
      <c r="B23" s="1" t="str">
        <f>Kalender!A23</f>
        <v>22.06.2020</v>
      </c>
      <c r="C23" s="3" t="str">
        <f>Kalender!B23</f>
        <v>Montag</v>
      </c>
      <c r="D23" s="3" t="str">
        <f>Kalender!C23</f>
        <v>Nein</v>
      </c>
      <c r="E23" s="4">
        <f>Kalender!D23</f>
        <v>0</v>
      </c>
      <c r="F23" s="4">
        <f>Kalender!F23</f>
        <v>6</v>
      </c>
      <c r="G23" s="4">
        <f>Kalender!G23</f>
        <v>2020</v>
      </c>
      <c r="H23" s="1" t="str">
        <f>Kalender!H23</f>
        <v>22.06.2020</v>
      </c>
    </row>
    <row r="24" spans="1:8" ht="18" customHeight="1">
      <c r="A24" s="4">
        <f>Kalender!E24</f>
        <v>23</v>
      </c>
      <c r="B24" s="1" t="str">
        <f>Kalender!A24</f>
        <v>23.06.2020</v>
      </c>
      <c r="C24" s="3" t="str">
        <f>Kalender!B24</f>
        <v>Dienstag</v>
      </c>
      <c r="D24" s="3" t="str">
        <f>Kalender!C24</f>
        <v>Nein</v>
      </c>
      <c r="E24" s="4">
        <f>Kalender!D24</f>
        <v>0</v>
      </c>
      <c r="F24" s="4">
        <f>Kalender!F24</f>
        <v>6</v>
      </c>
      <c r="G24" s="4">
        <f>Kalender!G24</f>
        <v>2020</v>
      </c>
      <c r="H24" s="1" t="str">
        <f>Kalender!H24</f>
        <v>23.06.2020</v>
      </c>
    </row>
    <row r="25" spans="1:8" ht="18" customHeight="1">
      <c r="A25" s="4">
        <f>Kalender!E25</f>
        <v>24</v>
      </c>
      <c r="B25" s="1" t="str">
        <f>Kalender!A25</f>
        <v>24.06.2020</v>
      </c>
      <c r="C25" s="3" t="str">
        <f>Kalender!B25</f>
        <v>Mittwoch</v>
      </c>
      <c r="D25" s="3" t="str">
        <f>Kalender!C25</f>
        <v>Nein</v>
      </c>
      <c r="E25" s="4">
        <f>Kalender!D25</f>
        <v>0</v>
      </c>
      <c r="F25" s="4">
        <f>Kalender!F25</f>
        <v>6</v>
      </c>
      <c r="G25" s="4">
        <f>Kalender!G25</f>
        <v>2020</v>
      </c>
      <c r="H25" s="1" t="str">
        <f>Kalender!H25</f>
        <v>24.06.2020</v>
      </c>
    </row>
    <row r="26" spans="1:8" ht="18" customHeight="1">
      <c r="A26" s="4">
        <f>Kalender!E26</f>
        <v>25</v>
      </c>
      <c r="B26" s="1" t="str">
        <f>Kalender!A26</f>
        <v>25.06.2020</v>
      </c>
      <c r="C26" s="3" t="str">
        <f>Kalender!B26</f>
        <v>Donnerstag</v>
      </c>
      <c r="D26" s="3" t="str">
        <f>Kalender!C26</f>
        <v>Nein</v>
      </c>
      <c r="E26" s="4">
        <f>Kalender!D26</f>
        <v>0</v>
      </c>
      <c r="F26" s="4">
        <f>Kalender!F26</f>
        <v>6</v>
      </c>
      <c r="G26" s="4">
        <f>Kalender!G26</f>
        <v>2020</v>
      </c>
      <c r="H26" s="1" t="str">
        <f>Kalender!H26</f>
        <v>25.06.2020</v>
      </c>
    </row>
    <row r="27" spans="1:8" ht="18" customHeight="1">
      <c r="A27" s="4">
        <f>Kalender!E27</f>
        <v>26</v>
      </c>
      <c r="B27" s="1" t="str">
        <f>Kalender!A27</f>
        <v>26.06.2020</v>
      </c>
      <c r="C27" s="3" t="str">
        <f>Kalender!B27</f>
        <v>Freitag</v>
      </c>
      <c r="D27" s="3" t="str">
        <f>Kalender!C27</f>
        <v>Nein</v>
      </c>
      <c r="E27" s="4">
        <f>Kalender!D27</f>
        <v>0</v>
      </c>
      <c r="F27" s="4">
        <f>Kalender!F27</f>
        <v>6</v>
      </c>
      <c r="G27" s="4">
        <f>Kalender!G27</f>
        <v>2020</v>
      </c>
      <c r="H27" s="1" t="str">
        <f>Kalender!H27</f>
        <v>26.06.2020</v>
      </c>
    </row>
    <row r="28" spans="1:8" ht="18" customHeight="1">
      <c r="A28" s="4">
        <f>Kalender!E28</f>
        <v>27</v>
      </c>
      <c r="B28" s="1" t="str">
        <f>Kalender!A28</f>
        <v>27.06.2020</v>
      </c>
      <c r="C28" s="3" t="str">
        <f>Kalender!B28</f>
        <v>Samstag</v>
      </c>
      <c r="D28" s="3" t="str">
        <f>Kalender!C28</f>
        <v>Ja</v>
      </c>
      <c r="E28" s="4">
        <f>Kalender!D28</f>
        <v>0</v>
      </c>
      <c r="F28" s="4">
        <f>Kalender!F28</f>
        <v>6</v>
      </c>
      <c r="G28" s="4">
        <f>Kalender!G28</f>
        <v>2020</v>
      </c>
      <c r="H28" s="1" t="str">
        <f>Kalender!H28</f>
        <v>27.06.2020</v>
      </c>
    </row>
    <row r="29" spans="1:8" ht="18" customHeight="1">
      <c r="A29" s="4">
        <f>Kalender!E29</f>
        <v>28</v>
      </c>
      <c r="B29" s="1" t="str">
        <f>Kalender!A29</f>
        <v>28.06.2020</v>
      </c>
      <c r="C29" s="3" t="str">
        <f>Kalender!B29</f>
        <v>Sonntag</v>
      </c>
      <c r="D29" s="3" t="str">
        <f>Kalender!C29</f>
        <v>Ja</v>
      </c>
      <c r="E29" s="4">
        <f>Kalender!D29</f>
        <v>0</v>
      </c>
      <c r="F29" s="4">
        <f>Kalender!F29</f>
        <v>6</v>
      </c>
      <c r="G29" s="4">
        <f>Kalender!G29</f>
        <v>2020</v>
      </c>
      <c r="H29" s="1" t="str">
        <f>Kalender!H29</f>
        <v>28.06.2020</v>
      </c>
    </row>
    <row r="30" spans="1:8" ht="18" customHeight="1">
      <c r="A30" s="4">
        <f>Kalender!E30</f>
        <v>29</v>
      </c>
      <c r="B30" s="1" t="str">
        <f>Kalender!A30</f>
        <v>29.06.2020</v>
      </c>
      <c r="C30" s="3" t="str">
        <f>Kalender!B30</f>
        <v>Montag</v>
      </c>
      <c r="D30" s="3" t="str">
        <f>Kalender!C30</f>
        <v>Nein</v>
      </c>
      <c r="E30" s="4">
        <f>Kalender!D30</f>
        <v>0</v>
      </c>
      <c r="F30" s="4">
        <f>Kalender!F30</f>
        <v>6</v>
      </c>
      <c r="G30" s="4">
        <f>Kalender!G30</f>
        <v>2020</v>
      </c>
      <c r="H30" s="1" t="str">
        <f>Kalender!H30</f>
        <v>29.06.2020</v>
      </c>
    </row>
    <row r="31" spans="1:8" ht="18" customHeight="1">
      <c r="A31" s="4">
        <f>Kalender!E31</f>
        <v>30</v>
      </c>
      <c r="B31" s="1" t="str">
        <f>Kalender!A31</f>
        <v>30.06.2020</v>
      </c>
      <c r="C31" s="3" t="str">
        <f>Kalender!B31</f>
        <v>Dienstag</v>
      </c>
      <c r="D31" s="3" t="str">
        <f>Kalender!C31</f>
        <v>Nein</v>
      </c>
      <c r="E31" s="4">
        <f>Kalender!D31</f>
        <v>0</v>
      </c>
      <c r="F31" s="4">
        <f>Kalender!F31</f>
        <v>6</v>
      </c>
      <c r="G31" s="4">
        <f>Kalender!G31</f>
        <v>2020</v>
      </c>
      <c r="H31" s="1" t="str">
        <f>Kalender!H31</f>
        <v>30.06.2020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zoomScaleNormal="100" zoomScaleSheetLayoutView="100" workbookViewId="0"/>
  </sheetViews>
  <sheetFormatPr defaultRowHeight="15"/>
  <cols>
    <col min="1" max="1" width="11" customWidth="1"/>
    <col min="2" max="2" width="9.625" customWidth="1"/>
    <col min="3" max="3" width="9.75" customWidth="1"/>
    <col min="4" max="4" width="12.375" customWidth="1"/>
    <col min="5" max="5" width="8.875" customWidth="1"/>
    <col min="6" max="6" width="6.875" customWidth="1"/>
    <col min="7" max="7" width="7.125" customWidth="1"/>
    <col min="8" max="8" width="10.125" customWidth="1"/>
  </cols>
  <sheetData>
    <row r="1" spans="1:8" ht="18" customHeight="1">
      <c r="A1" s="2" t="s">
        <v>8</v>
      </c>
      <c r="B1" s="2" t="s">
        <v>0</v>
      </c>
      <c r="C1" s="2" t="s">
        <v>1</v>
      </c>
      <c r="D1" s="2" t="s">
        <v>10</v>
      </c>
      <c r="E1" s="2" t="s">
        <v>43</v>
      </c>
      <c r="F1" s="2" t="s">
        <v>44</v>
      </c>
      <c r="G1" s="2" t="s">
        <v>4</v>
      </c>
      <c r="H1" s="2" t="s">
        <v>7</v>
      </c>
    </row>
    <row r="2" spans="1:8" ht="18" customHeight="1">
      <c r="A2" s="3" t="s">
        <v>15</v>
      </c>
      <c r="B2" s="1" t="str">
        <f>H2</f>
        <v>02.06.2020</v>
      </c>
      <c r="C2" s="3" t="str">
        <f>Kalender!B3</f>
        <v>Dienstag</v>
      </c>
      <c r="D2" s="3" t="s">
        <v>16</v>
      </c>
      <c r="E2" s="4">
        <f>IF(INDEX(Kalender!$C$2:$C$31,G2)="Nein",1,0)</f>
        <v>1</v>
      </c>
      <c r="F2" s="4">
        <f>IF(D2="KRANK",1,0)</f>
        <v>1</v>
      </c>
      <c r="G2" s="4">
        <f>DAY(DATE(VALUE(RIGHT(H2,4)),VALUE(MID(H2,4,2)),VALUE(LEFT(H2,2))))</f>
        <v>2</v>
      </c>
      <c r="H2" s="1" t="str">
        <f>Kalender!H3</f>
        <v>02.06.2020</v>
      </c>
    </row>
    <row r="3" spans="1:8" ht="18" customHeight="1">
      <c r="A3" s="3" t="s">
        <v>15</v>
      </c>
      <c r="B3" s="1" t="str">
        <f>H3</f>
        <v>03.06.2020</v>
      </c>
      <c r="C3" s="3" t="str">
        <f>Kalender!B4</f>
        <v>Mittwoch</v>
      </c>
      <c r="D3" s="3" t="s">
        <v>16</v>
      </c>
      <c r="E3" s="4">
        <f>IF(INDEX(Kalender!$C$2:$C$31,G3)="Nein",1,0)</f>
        <v>1</v>
      </c>
      <c r="F3" s="4">
        <f>IF(D3="KRANK",1,0)</f>
        <v>1</v>
      </c>
      <c r="G3" s="4">
        <f>DAY(DATE(VALUE(RIGHT(H3,4)),VALUE(MID(H3,4,2)),VALUE(LEFT(H3,2))))</f>
        <v>3</v>
      </c>
      <c r="H3" s="1" t="str">
        <f>Kalender!H4</f>
        <v>03.06.2020</v>
      </c>
    </row>
    <row r="4" spans="1:8" ht="18" customHeight="1">
      <c r="A4" s="3" t="s">
        <v>15</v>
      </c>
      <c r="B4" s="1" t="str">
        <f>H4</f>
        <v>08.06.2020</v>
      </c>
      <c r="C4" s="3" t="str">
        <f>Kalender!B9</f>
        <v>Montag</v>
      </c>
      <c r="D4" s="3" t="s">
        <v>16</v>
      </c>
      <c r="E4" s="4">
        <f>IF(INDEX(Kalender!$C$2:$C$31,G4)="Nein",1,0)</f>
        <v>1</v>
      </c>
      <c r="F4" s="4">
        <f>IF(D4="KRANK",1,0)</f>
        <v>1</v>
      </c>
      <c r="G4" s="4">
        <f>DAY(DATE(VALUE(RIGHT(H4,4)),VALUE(MID(H4,4,2)),VALUE(LEFT(H4,2))))</f>
        <v>8</v>
      </c>
      <c r="H4" s="1" t="str">
        <f>Kalender!H9</f>
        <v>08.06.2020</v>
      </c>
    </row>
    <row r="5" spans="1:8" ht="18" customHeight="1">
      <c r="A5" s="3" t="s">
        <v>15</v>
      </c>
      <c r="B5" s="1" t="str">
        <f>H5</f>
        <v>09.06.2020</v>
      </c>
      <c r="C5" s="3" t="str">
        <f>Kalender!B10</f>
        <v>Dienstag</v>
      </c>
      <c r="D5" s="3" t="s">
        <v>16</v>
      </c>
      <c r="E5" s="4">
        <f>IF(INDEX(Kalender!$C$2:$C$31,G5)="Nein",1,0)</f>
        <v>1</v>
      </c>
      <c r="F5" s="4">
        <f>IF(D5="KRANK",1,0)</f>
        <v>1</v>
      </c>
      <c r="G5" s="4">
        <f>DAY(DATE(VALUE(RIGHT(H5,4)),VALUE(MID(H5,4,2)),VALUE(LEFT(H5,2))))</f>
        <v>9</v>
      </c>
      <c r="H5" s="1" t="str">
        <f>Kalender!H10</f>
        <v>09.06.2020</v>
      </c>
    </row>
    <row r="6" spans="1:8" ht="18" customHeight="1">
      <c r="A6" s="3" t="s">
        <v>15</v>
      </c>
      <c r="B6" s="1" t="str">
        <f>H6</f>
        <v>10.06.2020</v>
      </c>
      <c r="C6" s="3" t="str">
        <f>Kalender!B11</f>
        <v>Mittwoch</v>
      </c>
      <c r="D6" s="3" t="s">
        <v>16</v>
      </c>
      <c r="E6" s="4">
        <f>IF(INDEX(Kalender!$C$2:$C$31,G6)="Nein",1,0)</f>
        <v>1</v>
      </c>
      <c r="F6" s="4">
        <f>IF(D6="KRANK",1,0)</f>
        <v>1</v>
      </c>
      <c r="G6" s="4">
        <f>DAY(DATE(VALUE(RIGHT(H6,4)),VALUE(MID(H6,4,2)),VALUE(LEFT(H6,2))))</f>
        <v>10</v>
      </c>
      <c r="H6" s="1" t="str">
        <f>Kalender!H11</f>
        <v>10.06.2020</v>
      </c>
    </row>
    <row r="7" spans="1:8" ht="18" customHeight="1">
      <c r="A7" s="3" t="s">
        <v>17</v>
      </c>
      <c r="B7" s="1" t="str">
        <f>H7</f>
        <v>05.06.2020</v>
      </c>
      <c r="C7" s="3" t="str">
        <f>Kalender!B6</f>
        <v>Freitag</v>
      </c>
      <c r="D7" s="3" t="s">
        <v>18</v>
      </c>
      <c r="E7" s="4">
        <f>IF(INDEX(Kalender!$C$2:$C$31,G7)="Nein",1,0)</f>
        <v>1</v>
      </c>
      <c r="F7" s="4">
        <f>IF(D7="KRANK",1,0)</f>
        <v>0</v>
      </c>
      <c r="G7" s="4">
        <f>DAY(DATE(VALUE(RIGHT(H7,4)),VALUE(MID(H7,4,2)),VALUE(LEFT(H7,2))))</f>
        <v>5</v>
      </c>
      <c r="H7" s="1" t="str">
        <f>Kalender!H6</f>
        <v>05.06.2020</v>
      </c>
    </row>
    <row r="8" spans="1:8" ht="18" customHeight="1">
      <c r="A8" s="3" t="s">
        <v>17</v>
      </c>
      <c r="B8" s="1" t="str">
        <f>H8</f>
        <v>15.06.2020</v>
      </c>
      <c r="C8" s="3" t="str">
        <f>Kalender!B16</f>
        <v>Montag</v>
      </c>
      <c r="D8" s="3" t="s">
        <v>16</v>
      </c>
      <c r="E8" s="4">
        <f>IF(INDEX(Kalender!$C$2:$C$31,G8)="Nein",1,0)</f>
        <v>1</v>
      </c>
      <c r="F8" s="4">
        <f>IF(D8="KRANK",1,0)</f>
        <v>1</v>
      </c>
      <c r="G8" s="4">
        <f>DAY(DATE(VALUE(RIGHT(H8,4)),VALUE(MID(H8,4,2)),VALUE(LEFT(H8,2))))</f>
        <v>15</v>
      </c>
      <c r="H8" s="1" t="str">
        <f>Kalender!H16</f>
        <v>15.06.2020</v>
      </c>
    </row>
    <row r="9" spans="1:8" ht="18" customHeight="1">
      <c r="A9" s="3" t="s">
        <v>17</v>
      </c>
      <c r="B9" s="1" t="str">
        <f>H9</f>
        <v>16.06.2020</v>
      </c>
      <c r="C9" s="3" t="str">
        <f>Kalender!B17</f>
        <v>Dienstag</v>
      </c>
      <c r="D9" s="3" t="s">
        <v>16</v>
      </c>
      <c r="E9" s="4">
        <f>IF(INDEX(Kalender!$C$2:$C$31,G9)="Nein",1,0)</f>
        <v>1</v>
      </c>
      <c r="F9" s="4">
        <f>IF(D9="KRANK",1,0)</f>
        <v>1</v>
      </c>
      <c r="G9" s="4">
        <f>DAY(DATE(VALUE(RIGHT(H9,4)),VALUE(MID(H9,4,2)),VALUE(LEFT(H9,2))))</f>
        <v>16</v>
      </c>
      <c r="H9" s="1" t="str">
        <f>Kalender!H17</f>
        <v>16.06.2020</v>
      </c>
    </row>
    <row r="10" spans="1:8" ht="18" customHeight="1">
      <c r="A10" s="3" t="s">
        <v>17</v>
      </c>
      <c r="B10" s="1" t="str">
        <f>H10</f>
        <v>17.06.2020</v>
      </c>
      <c r="C10" s="3" t="str">
        <f>Kalender!B18</f>
        <v>Mittwoch</v>
      </c>
      <c r="D10" s="3" t="s">
        <v>16</v>
      </c>
      <c r="E10" s="4">
        <f>IF(INDEX(Kalender!$C$2:$C$31,G10)="Nein",1,0)</f>
        <v>1</v>
      </c>
      <c r="F10" s="4">
        <f>IF(D10="KRANK",1,0)</f>
        <v>1</v>
      </c>
      <c r="G10" s="4">
        <f>DAY(DATE(VALUE(RIGHT(H10,4)),VALUE(MID(H10,4,2)),VALUE(LEFT(H10,2))))</f>
        <v>17</v>
      </c>
      <c r="H10" s="1" t="str">
        <f>Kalender!H18</f>
        <v>17.06.2020</v>
      </c>
    </row>
    <row r="11" spans="1:8" ht="18" customHeight="1">
      <c r="A11" s="3" t="s">
        <v>19</v>
      </c>
      <c r="B11" s="1" t="str">
        <f>H11</f>
        <v>26.06.2020</v>
      </c>
      <c r="C11" s="3" t="str">
        <f>Kalender!B27</f>
        <v>Freitag</v>
      </c>
      <c r="D11" s="3" t="s">
        <v>16</v>
      </c>
      <c r="E11" s="4">
        <f>IF(INDEX(Kalender!$C$2:$C$31,G11)="Nein",1,0)</f>
        <v>1</v>
      </c>
      <c r="F11" s="4">
        <f>IF(D11="KRANK",1,0)</f>
        <v>1</v>
      </c>
      <c r="G11" s="4">
        <f>DAY(DATE(VALUE(RIGHT(H11,4)),VALUE(MID(H11,4,2)),VALUE(LEFT(H11,2))))</f>
        <v>26</v>
      </c>
      <c r="H11" s="1" t="str">
        <f>Kalender!H27</f>
        <v>26.06.2020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zoomScaleNormal="100" zoomScaleSheetLayoutView="100" workbookViewId="0"/>
  </sheetViews>
  <sheetFormatPr defaultRowHeight="15"/>
  <cols>
    <col min="1" max="1" width="9.125" customWidth="1"/>
    <col min="2" max="2" width="11" customWidth="1"/>
    <col min="3" max="4" width="9.375" customWidth="1"/>
    <col min="5" max="5" width="12.375" customWidth="1"/>
    <col min="6" max="6" width="14.875" customWidth="1"/>
    <col min="7" max="7" width="7.375" customWidth="1"/>
    <col min="8" max="8" width="5.75" customWidth="1"/>
    <col min="9" max="9" width="12.875" customWidth="1"/>
    <col min="10" max="10" width="10.25" customWidth="1"/>
  </cols>
  <sheetData>
    <row r="1" spans="1:10" ht="18" customHeight="1">
      <c r="A1" s="2" t="s">
        <v>9</v>
      </c>
      <c r="B1" s="2" t="s">
        <v>8</v>
      </c>
      <c r="C1" s="2" t="s">
        <v>11</v>
      </c>
      <c r="D1" s="2" t="s">
        <v>12</v>
      </c>
      <c r="E1" s="2" t="s">
        <v>10</v>
      </c>
      <c r="F1" s="2" t="s">
        <v>45</v>
      </c>
      <c r="G1" s="2" t="s">
        <v>46</v>
      </c>
      <c r="H1" s="2" t="s">
        <v>5</v>
      </c>
      <c r="I1" s="2" t="s">
        <v>13</v>
      </c>
      <c r="J1" s="2" t="s">
        <v>14</v>
      </c>
    </row>
    <row r="2" spans="1:10" ht="18" customHeight="1">
      <c r="A2" s="4">
        <f>Abwesenheiten!B2</f>
        <v>1</v>
      </c>
      <c r="B2" s="3" t="str">
        <f>Abwesenheiten!A2</f>
        <v>E001</v>
      </c>
      <c r="C2" s="1" t="str">
        <f>I2</f>
        <v>02.06.2020</v>
      </c>
      <c r="D2" s="1" t="str">
        <f>J2</f>
        <v>03.06.2020</v>
      </c>
      <c r="E2" s="3" t="str">
        <f>Abwesenheiten!C2</f>
        <v>KRANK</v>
      </c>
      <c r="F2" s="4">
        <f>COUNTIFS(Kalender!$E$2:$E$31,"&gt;="&amp;DAY(DATE(VALUE(RIGHT(I2,4)),VALUE(MID(I2,4,2)),VALUE(LEFT(I2,2)))),Kalender!$E$2:$E$31,"&lt;="&amp;DAY(DATE(VALUE(RIGHT(J2,4)),VALUE(MID(J2,4,2)),VALUE(LEFT(J2,2)))),Kalender!$C$2:$C$31,"Nein")</f>
        <v>2</v>
      </c>
      <c r="G2" s="4">
        <f>IF(E2="KRANK",F2,0)</f>
        <v>2</v>
      </c>
      <c r="H2" s="4">
        <f>MONTH(DATE(VALUE(RIGHT(I2,4)),VALUE(MID(I2,4,2)),VALUE(LEFT(I2,2))))</f>
        <v>6</v>
      </c>
      <c r="I2" s="1" t="str">
        <f>Abwesenheiten!F2</f>
        <v>02.06.2020</v>
      </c>
      <c r="J2" s="1" t="str">
        <f>Abwesenheiten!G2</f>
        <v>03.06.2020</v>
      </c>
    </row>
    <row r="3" spans="1:10" ht="18" customHeight="1">
      <c r="A3" s="4">
        <f>Abwesenheiten!B3</f>
        <v>2</v>
      </c>
      <c r="B3" s="3" t="str">
        <f>Abwesenheiten!A3</f>
        <v>E001</v>
      </c>
      <c r="C3" s="1" t="str">
        <f>I3</f>
        <v>08.06.2020</v>
      </c>
      <c r="D3" s="1" t="str">
        <f>J3</f>
        <v>10.06.2020</v>
      </c>
      <c r="E3" s="3" t="str">
        <f>Abwesenheiten!C3</f>
        <v>KRANK</v>
      </c>
      <c r="F3" s="4">
        <f>COUNTIFS(Kalender!$E$2:$E$31,"&gt;="&amp;DAY(DATE(VALUE(RIGHT(I3,4)),VALUE(MID(I3,4,2)),VALUE(LEFT(I3,2)))),Kalender!$E$2:$E$31,"&lt;="&amp;DAY(DATE(VALUE(RIGHT(J3,4)),VALUE(MID(J3,4,2)),VALUE(LEFT(J3,2)))),Kalender!$C$2:$C$31,"Nein")</f>
        <v>3</v>
      </c>
      <c r="G3" s="4">
        <f>IF(E3="KRANK",F3,0)</f>
        <v>3</v>
      </c>
      <c r="H3" s="4">
        <f>MONTH(DATE(VALUE(RIGHT(I3,4)),VALUE(MID(I3,4,2)),VALUE(LEFT(I3,2))))</f>
        <v>6</v>
      </c>
      <c r="I3" s="1" t="str">
        <f>Abwesenheiten!F3</f>
        <v>08.06.2020</v>
      </c>
      <c r="J3" s="1" t="str">
        <f>Abwesenheiten!G3</f>
        <v>10.06.2020</v>
      </c>
    </row>
    <row r="4" spans="1:10" ht="18" customHeight="1">
      <c r="A4" s="4">
        <f>Abwesenheiten!B4</f>
        <v>3</v>
      </c>
      <c r="B4" s="3" t="str">
        <f>Abwesenheiten!A4</f>
        <v>E002</v>
      </c>
      <c r="C4" s="1" t="str">
        <f>I4</f>
        <v>05.06.2020</v>
      </c>
      <c r="D4" s="1" t="str">
        <f>J4</f>
        <v>05.06.2020</v>
      </c>
      <c r="E4" s="3" t="str">
        <f>Abwesenheiten!C4</f>
        <v>URLAUB</v>
      </c>
      <c r="F4" s="4">
        <f>COUNTIFS(Kalender!$E$2:$E$31,"&gt;="&amp;DAY(DATE(VALUE(RIGHT(I4,4)),VALUE(MID(I4,4,2)),VALUE(LEFT(I4,2)))),Kalender!$E$2:$E$31,"&lt;="&amp;DAY(DATE(VALUE(RIGHT(J4,4)),VALUE(MID(J4,4,2)),VALUE(LEFT(J4,2)))),Kalender!$C$2:$C$31,"Nein")</f>
        <v>1</v>
      </c>
      <c r="G4" s="4">
        <f>IF(E4="KRANK",F4,0)</f>
        <v>0</v>
      </c>
      <c r="H4" s="4">
        <f>MONTH(DATE(VALUE(RIGHT(I4,4)),VALUE(MID(I4,4,2)),VALUE(LEFT(I4,2))))</f>
        <v>6</v>
      </c>
      <c r="I4" s="1" t="str">
        <f>Abwesenheiten!F4</f>
        <v>05.06.2020</v>
      </c>
      <c r="J4" s="1" t="str">
        <f>Abwesenheiten!G4</f>
        <v>05.06.2020</v>
      </c>
    </row>
    <row r="5" spans="1:10" ht="18" customHeight="1">
      <c r="A5" s="4">
        <f>Abwesenheiten!B5</f>
        <v>4</v>
      </c>
      <c r="B5" s="3" t="str">
        <f>Abwesenheiten!A5</f>
        <v>E002</v>
      </c>
      <c r="C5" s="1" t="str">
        <f>I5</f>
        <v>15.06.2020</v>
      </c>
      <c r="D5" s="1" t="str">
        <f>J5</f>
        <v>17.06.2020</v>
      </c>
      <c r="E5" s="3" t="str">
        <f>Abwesenheiten!C5</f>
        <v>KRANK</v>
      </c>
      <c r="F5" s="4">
        <f>COUNTIFS(Kalender!$E$2:$E$31,"&gt;="&amp;DAY(DATE(VALUE(RIGHT(I5,4)),VALUE(MID(I5,4,2)),VALUE(LEFT(I5,2)))),Kalender!$E$2:$E$31,"&lt;="&amp;DAY(DATE(VALUE(RIGHT(J5,4)),VALUE(MID(J5,4,2)),VALUE(LEFT(J5,2)))),Kalender!$C$2:$C$31,"Nein")</f>
        <v>3</v>
      </c>
      <c r="G5" s="4">
        <f>IF(E5="KRANK",F5,0)</f>
        <v>3</v>
      </c>
      <c r="H5" s="4">
        <f>MONTH(DATE(VALUE(RIGHT(I5,4)),VALUE(MID(I5,4,2)),VALUE(LEFT(I5,2))))</f>
        <v>6</v>
      </c>
      <c r="I5" s="1" t="str">
        <f>Abwesenheiten!F5</f>
        <v>15.06.2020</v>
      </c>
      <c r="J5" s="1" t="str">
        <f>Abwesenheiten!G5</f>
        <v>17.06.2020</v>
      </c>
    </row>
    <row r="6" spans="1:10" ht="18" customHeight="1">
      <c r="A6" s="4">
        <f>Abwesenheiten!B6</f>
        <v>5</v>
      </c>
      <c r="B6" s="3" t="str">
        <f>Abwesenheiten!A6</f>
        <v>E003</v>
      </c>
      <c r="C6" s="1" t="str">
        <f>I6</f>
        <v>26.06.2020</v>
      </c>
      <c r="D6" s="1" t="str">
        <f>J6</f>
        <v>26.06.2020</v>
      </c>
      <c r="E6" s="3" t="str">
        <f>Abwesenheiten!C6</f>
        <v>KRANK</v>
      </c>
      <c r="F6" s="4">
        <f>COUNTIFS(Kalender!$E$2:$E$31,"&gt;="&amp;DAY(DATE(VALUE(RIGHT(I6,4)),VALUE(MID(I6,4,2)),VALUE(LEFT(I6,2)))),Kalender!$E$2:$E$31,"&lt;="&amp;DAY(DATE(VALUE(RIGHT(J6,4)),VALUE(MID(J6,4,2)),VALUE(LEFT(J6,2)))),Kalender!$C$2:$C$31,"Nein")</f>
        <v>1</v>
      </c>
      <c r="G6" s="4">
        <f>IF(E6="KRANK",F6,0)</f>
        <v>1</v>
      </c>
      <c r="H6" s="4">
        <f>MONTH(DATE(VALUE(RIGHT(I6,4)),VALUE(MID(I6,4,2)),VALUE(LEFT(I6,2))))</f>
        <v>6</v>
      </c>
      <c r="I6" s="1" t="str">
        <f>Abwesenheiten!F6</f>
        <v>26.06.2020</v>
      </c>
      <c r="J6" s="1" t="str">
        <f>Abwesenheiten!G6</f>
        <v>26.06.2020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zoomScaleNormal="100" zoomScaleSheetLayoutView="100" workbookViewId="0"/>
  </sheetViews>
  <sheetFormatPr defaultRowHeight="15"/>
  <cols>
    <col min="1" max="5" width="13" customWidth="1"/>
    <col min="6" max="6" width="18" customWidth="1"/>
  </cols>
  <sheetData>
    <row r="1" spans="1:6" ht="18" customHeight="1">
      <c r="A1" s="2" t="s">
        <v>8</v>
      </c>
      <c r="B1" s="2" t="s">
        <v>5</v>
      </c>
      <c r="C1" s="2" t="s">
        <v>47</v>
      </c>
      <c r="D1" s="2" t="s">
        <v>48</v>
      </c>
      <c r="E1" s="2" t="s">
        <v>49</v>
      </c>
      <c r="F1" s="2" t="s">
        <v>50</v>
      </c>
    </row>
    <row r="2" spans="1:6" ht="18" customHeight="1">
      <c r="A2" s="3" t="s">
        <v>15</v>
      </c>
      <c r="B2" s="4">
        <v>1</v>
      </c>
      <c r="C2" s="4">
        <f>SUMIFS(TFT_Berechnung!$F$2:$F$6,TFT_Berechnung!$B$2:$B$6,$A2,TFT_Berechnung!$H$2:$H$6,B2)</f>
        <v>0</v>
      </c>
      <c r="D2" s="4">
        <f>SUMIFS(TFT_Berechnung!$G$2:$G$6,TFT_Berechnung!$B$2:$B$6,$A2,TFT_Berechnung!$H$2:$H$6,B2)</f>
        <v>0</v>
      </c>
      <c r="E2" s="4">
        <f>IF(C2+D2&gt;0,COUNTIFS(Kalender!$F$2:$F$31,B2,Kalender!$C$2:$C$31,"Nein"),0)</f>
        <v>0</v>
      </c>
      <c r="F2" s="5">
        <f>IF(E2&gt;0,D2/E2,0)</f>
        <v>0</v>
      </c>
    </row>
    <row r="3" spans="1:6" ht="18" customHeight="1">
      <c r="A3" s="3" t="s">
        <v>15</v>
      </c>
      <c r="B3" s="4">
        <v>2</v>
      </c>
      <c r="C3" s="4">
        <f>SUMIFS(TFT_Berechnung!$F$2:$F$6,TFT_Berechnung!$B$2:$B$6,$A3,TFT_Berechnung!$H$2:$H$6,B3)</f>
        <v>0</v>
      </c>
      <c r="D3" s="4">
        <f>SUMIFS(TFT_Berechnung!$G$2:$G$6,TFT_Berechnung!$B$2:$B$6,$A3,TFT_Berechnung!$H$2:$H$6,B3)</f>
        <v>0</v>
      </c>
      <c r="E3" s="4">
        <f>IF(C3+D3&gt;0,COUNTIFS(Kalender!$F$2:$F$31,B3,Kalender!$C$2:$C$31,"Nein"),0)</f>
        <v>0</v>
      </c>
      <c r="F3" s="5">
        <f>IF(E3&gt;0,D3/E3,0)</f>
        <v>0</v>
      </c>
    </row>
    <row r="4" spans="1:6" ht="18" customHeight="1">
      <c r="A4" s="3" t="s">
        <v>15</v>
      </c>
      <c r="B4" s="4">
        <v>3</v>
      </c>
      <c r="C4" s="4">
        <f>SUMIFS(TFT_Berechnung!$F$2:$F$6,TFT_Berechnung!$B$2:$B$6,$A4,TFT_Berechnung!$H$2:$H$6,B4)</f>
        <v>0</v>
      </c>
      <c r="D4" s="4">
        <f>SUMIFS(TFT_Berechnung!$G$2:$G$6,TFT_Berechnung!$B$2:$B$6,$A4,TFT_Berechnung!$H$2:$H$6,B4)</f>
        <v>0</v>
      </c>
      <c r="E4" s="4">
        <f>IF(C4+D4&gt;0,COUNTIFS(Kalender!$F$2:$F$31,B4,Kalender!$C$2:$C$31,"Nein"),0)</f>
        <v>0</v>
      </c>
      <c r="F4" s="5">
        <f>IF(E4&gt;0,D4/E4,0)</f>
        <v>0</v>
      </c>
    </row>
    <row r="5" spans="1:6" ht="18" customHeight="1">
      <c r="A5" s="3" t="s">
        <v>15</v>
      </c>
      <c r="B5" s="4">
        <v>4</v>
      </c>
      <c r="C5" s="4">
        <f>SUMIFS(TFT_Berechnung!$F$2:$F$6,TFT_Berechnung!$B$2:$B$6,$A5,TFT_Berechnung!$H$2:$H$6,B5)</f>
        <v>0</v>
      </c>
      <c r="D5" s="4">
        <f>SUMIFS(TFT_Berechnung!$G$2:$G$6,TFT_Berechnung!$B$2:$B$6,$A5,TFT_Berechnung!$H$2:$H$6,B5)</f>
        <v>0</v>
      </c>
      <c r="E5" s="4">
        <f>IF(C5+D5&gt;0,COUNTIFS(Kalender!$F$2:$F$31,B5,Kalender!$C$2:$C$31,"Nein"),0)</f>
        <v>0</v>
      </c>
      <c r="F5" s="5">
        <f>IF(E5&gt;0,D5/E5,0)</f>
        <v>0</v>
      </c>
    </row>
    <row r="6" spans="1:6" ht="18" customHeight="1">
      <c r="A6" s="3" t="s">
        <v>15</v>
      </c>
      <c r="B6" s="4">
        <v>5</v>
      </c>
      <c r="C6" s="4">
        <f>SUMIFS(TFT_Berechnung!$F$2:$F$6,TFT_Berechnung!$B$2:$B$6,$A6,TFT_Berechnung!$H$2:$H$6,B6)</f>
        <v>0</v>
      </c>
      <c r="D6" s="4">
        <f>SUMIFS(TFT_Berechnung!$G$2:$G$6,TFT_Berechnung!$B$2:$B$6,$A6,TFT_Berechnung!$H$2:$H$6,B6)</f>
        <v>0</v>
      </c>
      <c r="E6" s="4">
        <f>IF(C6+D6&gt;0,COUNTIFS(Kalender!$F$2:$F$31,B6,Kalender!$C$2:$C$31,"Nein"),0)</f>
        <v>0</v>
      </c>
      <c r="F6" s="5">
        <f>IF(E6&gt;0,D6/E6,0)</f>
        <v>0</v>
      </c>
    </row>
    <row r="7" spans="1:6" ht="18" customHeight="1">
      <c r="A7" s="3" t="s">
        <v>15</v>
      </c>
      <c r="B7" s="4">
        <v>6</v>
      </c>
      <c r="C7" s="4">
        <f>SUMIFS(TFT_Berechnung!$F$2:$F$6,TFT_Berechnung!$B$2:$B$6,$A7,TFT_Berechnung!$H$2:$H$6,B7)</f>
        <v>5</v>
      </c>
      <c r="D7" s="4">
        <f>SUMIFS(TFT_Berechnung!$G$2:$G$6,TFT_Berechnung!$B$2:$B$6,$A7,TFT_Berechnung!$H$2:$H$6,B7)</f>
        <v>5</v>
      </c>
      <c r="E7" s="4">
        <f>IF(C7+D7&gt;0,COUNTIFS(Kalender!$F$2:$F$31,B7,Kalender!$C$2:$C$31,"Nein"),0)</f>
        <v>22</v>
      </c>
      <c r="F7" s="5">
        <f>IF(E7&gt;0,D7/E7,0)</f>
        <v>0.22727272727272727</v>
      </c>
    </row>
    <row r="8" spans="1:6" ht="18" customHeight="1">
      <c r="A8" s="3" t="s">
        <v>15</v>
      </c>
      <c r="B8" s="4">
        <v>7</v>
      </c>
      <c r="C8" s="4">
        <f>SUMIFS(TFT_Berechnung!$F$2:$F$6,TFT_Berechnung!$B$2:$B$6,$A8,TFT_Berechnung!$H$2:$H$6,B8)</f>
        <v>0</v>
      </c>
      <c r="D8" s="4">
        <f>SUMIFS(TFT_Berechnung!$G$2:$G$6,TFT_Berechnung!$B$2:$B$6,$A8,TFT_Berechnung!$H$2:$H$6,B8)</f>
        <v>0</v>
      </c>
      <c r="E8" s="4">
        <f>IF(C8+D8&gt;0,COUNTIFS(Kalender!$F$2:$F$31,B8,Kalender!$C$2:$C$31,"Nein"),0)</f>
        <v>0</v>
      </c>
      <c r="F8" s="5">
        <f>IF(E8&gt;0,D8/E8,0)</f>
        <v>0</v>
      </c>
    </row>
    <row r="9" spans="1:6" ht="18" customHeight="1">
      <c r="A9" s="3" t="s">
        <v>15</v>
      </c>
      <c r="B9" s="4">
        <v>8</v>
      </c>
      <c r="C9" s="4">
        <f>SUMIFS(TFT_Berechnung!$F$2:$F$6,TFT_Berechnung!$B$2:$B$6,$A9,TFT_Berechnung!$H$2:$H$6,B9)</f>
        <v>0</v>
      </c>
      <c r="D9" s="4">
        <f>SUMIFS(TFT_Berechnung!$G$2:$G$6,TFT_Berechnung!$B$2:$B$6,$A9,TFT_Berechnung!$H$2:$H$6,B9)</f>
        <v>0</v>
      </c>
      <c r="E9" s="4">
        <f>IF(C9+D9&gt;0,COUNTIFS(Kalender!$F$2:$F$31,B9,Kalender!$C$2:$C$31,"Nein"),0)</f>
        <v>0</v>
      </c>
      <c r="F9" s="5">
        <f>IF(E9&gt;0,D9/E9,0)</f>
        <v>0</v>
      </c>
    </row>
    <row r="10" spans="1:6" ht="18" customHeight="1">
      <c r="A10" s="3" t="s">
        <v>15</v>
      </c>
      <c r="B10" s="4">
        <v>9</v>
      </c>
      <c r="C10" s="4">
        <f>SUMIFS(TFT_Berechnung!$F$2:$F$6,TFT_Berechnung!$B$2:$B$6,$A10,TFT_Berechnung!$H$2:$H$6,B10)</f>
        <v>0</v>
      </c>
      <c r="D10" s="4">
        <f>SUMIFS(TFT_Berechnung!$G$2:$G$6,TFT_Berechnung!$B$2:$B$6,$A10,TFT_Berechnung!$H$2:$H$6,B10)</f>
        <v>0</v>
      </c>
      <c r="E10" s="4">
        <f>IF(C10+D10&gt;0,COUNTIFS(Kalender!$F$2:$F$31,B10,Kalender!$C$2:$C$31,"Nein"),0)</f>
        <v>0</v>
      </c>
      <c r="F10" s="5">
        <f>IF(E10&gt;0,D10/E10,0)</f>
        <v>0</v>
      </c>
    </row>
    <row r="11" spans="1:6" ht="18" customHeight="1">
      <c r="A11" s="3" t="s">
        <v>15</v>
      </c>
      <c r="B11" s="4">
        <v>10</v>
      </c>
      <c r="C11" s="4">
        <f>SUMIFS(TFT_Berechnung!$F$2:$F$6,TFT_Berechnung!$B$2:$B$6,$A11,TFT_Berechnung!$H$2:$H$6,B11)</f>
        <v>0</v>
      </c>
      <c r="D11" s="4">
        <f>SUMIFS(TFT_Berechnung!$G$2:$G$6,TFT_Berechnung!$B$2:$B$6,$A11,TFT_Berechnung!$H$2:$H$6,B11)</f>
        <v>0</v>
      </c>
      <c r="E11" s="4">
        <f>IF(C11+D11&gt;0,COUNTIFS(Kalender!$F$2:$F$31,B11,Kalender!$C$2:$C$31,"Nein"),0)</f>
        <v>0</v>
      </c>
      <c r="F11" s="5">
        <f>IF(E11&gt;0,D11/E11,0)</f>
        <v>0</v>
      </c>
    </row>
    <row r="12" spans="1:6" ht="18" customHeight="1">
      <c r="A12" s="3" t="s">
        <v>15</v>
      </c>
      <c r="B12" s="4">
        <v>11</v>
      </c>
      <c r="C12" s="4">
        <f>SUMIFS(TFT_Berechnung!$F$2:$F$6,TFT_Berechnung!$B$2:$B$6,$A12,TFT_Berechnung!$H$2:$H$6,B12)</f>
        <v>0</v>
      </c>
      <c r="D12" s="4">
        <f>SUMIFS(TFT_Berechnung!$G$2:$G$6,TFT_Berechnung!$B$2:$B$6,$A12,TFT_Berechnung!$H$2:$H$6,B12)</f>
        <v>0</v>
      </c>
      <c r="E12" s="4">
        <f>IF(C12+D12&gt;0,COUNTIFS(Kalender!$F$2:$F$31,B12,Kalender!$C$2:$C$31,"Nein"),0)</f>
        <v>0</v>
      </c>
      <c r="F12" s="5">
        <f>IF(E12&gt;0,D12/E12,0)</f>
        <v>0</v>
      </c>
    </row>
    <row r="13" spans="1:6" ht="18" customHeight="1">
      <c r="A13" s="3" t="s">
        <v>15</v>
      </c>
      <c r="B13" s="4">
        <v>12</v>
      </c>
      <c r="C13" s="4">
        <f>SUMIFS(TFT_Berechnung!$F$2:$F$6,TFT_Berechnung!$B$2:$B$6,$A13,TFT_Berechnung!$H$2:$H$6,B13)</f>
        <v>0</v>
      </c>
      <c r="D13" s="4">
        <f>SUMIFS(TFT_Berechnung!$G$2:$G$6,TFT_Berechnung!$B$2:$B$6,$A13,TFT_Berechnung!$H$2:$H$6,B13)</f>
        <v>0</v>
      </c>
      <c r="E13" s="4">
        <f>IF(C13+D13&gt;0,COUNTIFS(Kalender!$F$2:$F$31,B13,Kalender!$C$2:$C$31,"Nein"),0)</f>
        <v>0</v>
      </c>
      <c r="F13" s="5">
        <f>IF(E13&gt;0,D13/E13,0)</f>
        <v>0</v>
      </c>
    </row>
    <row r="14" spans="1:6" ht="18" customHeight="1">
      <c r="A14" s="3" t="s">
        <v>17</v>
      </c>
      <c r="B14" s="4">
        <v>1</v>
      </c>
      <c r="C14" s="4">
        <f>SUMIFS(TFT_Berechnung!$F$2:$F$6,TFT_Berechnung!$B$2:$B$6,$A14,TFT_Berechnung!$H$2:$H$6,B14)</f>
        <v>0</v>
      </c>
      <c r="D14" s="4">
        <f>SUMIFS(TFT_Berechnung!$G$2:$G$6,TFT_Berechnung!$B$2:$B$6,$A14,TFT_Berechnung!$H$2:$H$6,B14)</f>
        <v>0</v>
      </c>
      <c r="E14" s="4">
        <f>IF(C14+D14&gt;0,COUNTIFS(Kalender!$F$2:$F$31,B14,Kalender!$C$2:$C$31,"Nein"),0)</f>
        <v>0</v>
      </c>
      <c r="F14" s="5">
        <f>IF(E14&gt;0,D14/E14,0)</f>
        <v>0</v>
      </c>
    </row>
    <row r="15" spans="1:6" ht="18" customHeight="1">
      <c r="A15" s="3" t="s">
        <v>17</v>
      </c>
      <c r="B15" s="4">
        <v>2</v>
      </c>
      <c r="C15" s="4">
        <f>SUMIFS(TFT_Berechnung!$F$2:$F$6,TFT_Berechnung!$B$2:$B$6,$A15,TFT_Berechnung!$H$2:$H$6,B15)</f>
        <v>0</v>
      </c>
      <c r="D15" s="4">
        <f>SUMIFS(TFT_Berechnung!$G$2:$G$6,TFT_Berechnung!$B$2:$B$6,$A15,TFT_Berechnung!$H$2:$H$6,B15)</f>
        <v>0</v>
      </c>
      <c r="E15" s="4">
        <f>IF(C15+D15&gt;0,COUNTIFS(Kalender!$F$2:$F$31,B15,Kalender!$C$2:$C$31,"Nein"),0)</f>
        <v>0</v>
      </c>
      <c r="F15" s="5">
        <f>IF(E15&gt;0,D15/E15,0)</f>
        <v>0</v>
      </c>
    </row>
    <row r="16" spans="1:6" ht="18" customHeight="1">
      <c r="A16" s="3" t="s">
        <v>17</v>
      </c>
      <c r="B16" s="4">
        <v>3</v>
      </c>
      <c r="C16" s="4">
        <f>SUMIFS(TFT_Berechnung!$F$2:$F$6,TFT_Berechnung!$B$2:$B$6,$A16,TFT_Berechnung!$H$2:$H$6,B16)</f>
        <v>0</v>
      </c>
      <c r="D16" s="4">
        <f>SUMIFS(TFT_Berechnung!$G$2:$G$6,TFT_Berechnung!$B$2:$B$6,$A16,TFT_Berechnung!$H$2:$H$6,B16)</f>
        <v>0</v>
      </c>
      <c r="E16" s="4">
        <f>IF(C16+D16&gt;0,COUNTIFS(Kalender!$F$2:$F$31,B16,Kalender!$C$2:$C$31,"Nein"),0)</f>
        <v>0</v>
      </c>
      <c r="F16" s="5">
        <f>IF(E16&gt;0,D16/E16,0)</f>
        <v>0</v>
      </c>
    </row>
    <row r="17" spans="1:6" ht="18" customHeight="1">
      <c r="A17" s="3" t="s">
        <v>17</v>
      </c>
      <c r="B17" s="4">
        <v>4</v>
      </c>
      <c r="C17" s="4">
        <f>SUMIFS(TFT_Berechnung!$F$2:$F$6,TFT_Berechnung!$B$2:$B$6,$A17,TFT_Berechnung!$H$2:$H$6,B17)</f>
        <v>0</v>
      </c>
      <c r="D17" s="4">
        <f>SUMIFS(TFT_Berechnung!$G$2:$G$6,TFT_Berechnung!$B$2:$B$6,$A17,TFT_Berechnung!$H$2:$H$6,B17)</f>
        <v>0</v>
      </c>
      <c r="E17" s="4">
        <f>IF(C17+D17&gt;0,COUNTIFS(Kalender!$F$2:$F$31,B17,Kalender!$C$2:$C$31,"Nein"),0)</f>
        <v>0</v>
      </c>
      <c r="F17" s="5">
        <f>IF(E17&gt;0,D17/E17,0)</f>
        <v>0</v>
      </c>
    </row>
    <row r="18" spans="1:6" ht="18" customHeight="1">
      <c r="A18" s="3" t="s">
        <v>17</v>
      </c>
      <c r="B18" s="4">
        <v>5</v>
      </c>
      <c r="C18" s="4">
        <f>SUMIFS(TFT_Berechnung!$F$2:$F$6,TFT_Berechnung!$B$2:$B$6,$A18,TFT_Berechnung!$H$2:$H$6,B18)</f>
        <v>0</v>
      </c>
      <c r="D18" s="4">
        <f>SUMIFS(TFT_Berechnung!$G$2:$G$6,TFT_Berechnung!$B$2:$B$6,$A18,TFT_Berechnung!$H$2:$H$6,B18)</f>
        <v>0</v>
      </c>
      <c r="E18" s="4">
        <f>IF(C18+D18&gt;0,COUNTIFS(Kalender!$F$2:$F$31,B18,Kalender!$C$2:$C$31,"Nein"),0)</f>
        <v>0</v>
      </c>
      <c r="F18" s="5">
        <f>IF(E18&gt;0,D18/E18,0)</f>
        <v>0</v>
      </c>
    </row>
    <row r="19" spans="1:6" ht="18" customHeight="1">
      <c r="A19" s="3" t="s">
        <v>17</v>
      </c>
      <c r="B19" s="4">
        <v>6</v>
      </c>
      <c r="C19" s="4">
        <f>SUMIFS(TFT_Berechnung!$F$2:$F$6,TFT_Berechnung!$B$2:$B$6,$A19,TFT_Berechnung!$H$2:$H$6,B19)</f>
        <v>4</v>
      </c>
      <c r="D19" s="4">
        <f>SUMIFS(TFT_Berechnung!$G$2:$G$6,TFT_Berechnung!$B$2:$B$6,$A19,TFT_Berechnung!$H$2:$H$6,B19)</f>
        <v>3</v>
      </c>
      <c r="E19" s="4">
        <f>IF(C19+D19&gt;0,COUNTIFS(Kalender!$F$2:$F$31,B19,Kalender!$C$2:$C$31,"Nein"),0)</f>
        <v>22</v>
      </c>
      <c r="F19" s="5">
        <f>IF(E19&gt;0,D19/E19,0)</f>
        <v>0.13636363636363635</v>
      </c>
    </row>
    <row r="20" spans="1:6" ht="18" customHeight="1">
      <c r="A20" s="3" t="s">
        <v>17</v>
      </c>
      <c r="B20" s="4">
        <v>7</v>
      </c>
      <c r="C20" s="4">
        <f>SUMIFS(TFT_Berechnung!$F$2:$F$6,TFT_Berechnung!$B$2:$B$6,$A20,TFT_Berechnung!$H$2:$H$6,B20)</f>
        <v>0</v>
      </c>
      <c r="D20" s="4">
        <f>SUMIFS(TFT_Berechnung!$G$2:$G$6,TFT_Berechnung!$B$2:$B$6,$A20,TFT_Berechnung!$H$2:$H$6,B20)</f>
        <v>0</v>
      </c>
      <c r="E20" s="4">
        <f>IF(C20+D20&gt;0,COUNTIFS(Kalender!$F$2:$F$31,B20,Kalender!$C$2:$C$31,"Nein"),0)</f>
        <v>0</v>
      </c>
      <c r="F20" s="5">
        <f>IF(E20&gt;0,D20/E20,0)</f>
        <v>0</v>
      </c>
    </row>
    <row r="21" spans="1:6" ht="18" customHeight="1">
      <c r="A21" s="3" t="s">
        <v>17</v>
      </c>
      <c r="B21" s="4">
        <v>8</v>
      </c>
      <c r="C21" s="4">
        <f>SUMIFS(TFT_Berechnung!$F$2:$F$6,TFT_Berechnung!$B$2:$B$6,$A21,TFT_Berechnung!$H$2:$H$6,B21)</f>
        <v>0</v>
      </c>
      <c r="D21" s="4">
        <f>SUMIFS(TFT_Berechnung!$G$2:$G$6,TFT_Berechnung!$B$2:$B$6,$A21,TFT_Berechnung!$H$2:$H$6,B21)</f>
        <v>0</v>
      </c>
      <c r="E21" s="4">
        <f>IF(C21+D21&gt;0,COUNTIFS(Kalender!$F$2:$F$31,B21,Kalender!$C$2:$C$31,"Nein"),0)</f>
        <v>0</v>
      </c>
      <c r="F21" s="5">
        <f>IF(E21&gt;0,D21/E21,0)</f>
        <v>0</v>
      </c>
    </row>
    <row r="22" spans="1:6" ht="18" customHeight="1">
      <c r="A22" s="3" t="s">
        <v>17</v>
      </c>
      <c r="B22" s="4">
        <v>9</v>
      </c>
      <c r="C22" s="4">
        <f>SUMIFS(TFT_Berechnung!$F$2:$F$6,TFT_Berechnung!$B$2:$B$6,$A22,TFT_Berechnung!$H$2:$H$6,B22)</f>
        <v>0</v>
      </c>
      <c r="D22" s="4">
        <f>SUMIFS(TFT_Berechnung!$G$2:$G$6,TFT_Berechnung!$B$2:$B$6,$A22,TFT_Berechnung!$H$2:$H$6,B22)</f>
        <v>0</v>
      </c>
      <c r="E22" s="4">
        <f>IF(C22+D22&gt;0,COUNTIFS(Kalender!$F$2:$F$31,B22,Kalender!$C$2:$C$31,"Nein"),0)</f>
        <v>0</v>
      </c>
      <c r="F22" s="5">
        <f>IF(E22&gt;0,D22/E22,0)</f>
        <v>0</v>
      </c>
    </row>
    <row r="23" spans="1:6" ht="18" customHeight="1">
      <c r="A23" s="3" t="s">
        <v>17</v>
      </c>
      <c r="B23" s="4">
        <v>10</v>
      </c>
      <c r="C23" s="4">
        <f>SUMIFS(TFT_Berechnung!$F$2:$F$6,TFT_Berechnung!$B$2:$B$6,$A23,TFT_Berechnung!$H$2:$H$6,B23)</f>
        <v>0</v>
      </c>
      <c r="D23" s="4">
        <f>SUMIFS(TFT_Berechnung!$G$2:$G$6,TFT_Berechnung!$B$2:$B$6,$A23,TFT_Berechnung!$H$2:$H$6,B23)</f>
        <v>0</v>
      </c>
      <c r="E23" s="4">
        <f>IF(C23+D23&gt;0,COUNTIFS(Kalender!$F$2:$F$31,B23,Kalender!$C$2:$C$31,"Nein"),0)</f>
        <v>0</v>
      </c>
      <c r="F23" s="5">
        <f>IF(E23&gt;0,D23/E23,0)</f>
        <v>0</v>
      </c>
    </row>
    <row r="24" spans="1:6" ht="18" customHeight="1">
      <c r="A24" s="3" t="s">
        <v>17</v>
      </c>
      <c r="B24" s="4">
        <v>11</v>
      </c>
      <c r="C24" s="4">
        <f>SUMIFS(TFT_Berechnung!$F$2:$F$6,TFT_Berechnung!$B$2:$B$6,$A24,TFT_Berechnung!$H$2:$H$6,B24)</f>
        <v>0</v>
      </c>
      <c r="D24" s="4">
        <f>SUMIFS(TFT_Berechnung!$G$2:$G$6,TFT_Berechnung!$B$2:$B$6,$A24,TFT_Berechnung!$H$2:$H$6,B24)</f>
        <v>0</v>
      </c>
      <c r="E24" s="4">
        <f>IF(C24+D24&gt;0,COUNTIFS(Kalender!$F$2:$F$31,B24,Kalender!$C$2:$C$31,"Nein"),0)</f>
        <v>0</v>
      </c>
      <c r="F24" s="5">
        <f>IF(E24&gt;0,D24/E24,0)</f>
        <v>0</v>
      </c>
    </row>
    <row r="25" spans="1:6" ht="18" customHeight="1">
      <c r="A25" s="3" t="s">
        <v>17</v>
      </c>
      <c r="B25" s="4">
        <v>12</v>
      </c>
      <c r="C25" s="4">
        <f>SUMIFS(TFT_Berechnung!$F$2:$F$6,TFT_Berechnung!$B$2:$B$6,$A25,TFT_Berechnung!$H$2:$H$6,B25)</f>
        <v>0</v>
      </c>
      <c r="D25" s="4">
        <f>SUMIFS(TFT_Berechnung!$G$2:$G$6,TFT_Berechnung!$B$2:$B$6,$A25,TFT_Berechnung!$H$2:$H$6,B25)</f>
        <v>0</v>
      </c>
      <c r="E25" s="4">
        <f>IF(C25+D25&gt;0,COUNTIFS(Kalender!$F$2:$F$31,B25,Kalender!$C$2:$C$31,"Nein"),0)</f>
        <v>0</v>
      </c>
      <c r="F25" s="5">
        <f>IF(E25&gt;0,D25/E25,0)</f>
        <v>0</v>
      </c>
    </row>
    <row r="26" spans="1:6" ht="18" customHeight="1">
      <c r="A26" s="3" t="s">
        <v>19</v>
      </c>
      <c r="B26" s="4">
        <v>1</v>
      </c>
      <c r="C26" s="4">
        <f>SUMIFS(TFT_Berechnung!$F$2:$F$6,TFT_Berechnung!$B$2:$B$6,$A26,TFT_Berechnung!$H$2:$H$6,B26)</f>
        <v>0</v>
      </c>
      <c r="D26" s="4">
        <f>SUMIFS(TFT_Berechnung!$G$2:$G$6,TFT_Berechnung!$B$2:$B$6,$A26,TFT_Berechnung!$H$2:$H$6,B26)</f>
        <v>0</v>
      </c>
      <c r="E26" s="4">
        <f>IF(C26+D26&gt;0,COUNTIFS(Kalender!$F$2:$F$31,B26,Kalender!$C$2:$C$31,"Nein"),0)</f>
        <v>0</v>
      </c>
      <c r="F26" s="5">
        <f>IF(E26&gt;0,D26/E26,0)</f>
        <v>0</v>
      </c>
    </row>
    <row r="27" spans="1:6" ht="18" customHeight="1">
      <c r="A27" s="3" t="s">
        <v>19</v>
      </c>
      <c r="B27" s="4">
        <v>2</v>
      </c>
      <c r="C27" s="4">
        <f>SUMIFS(TFT_Berechnung!$F$2:$F$6,TFT_Berechnung!$B$2:$B$6,$A27,TFT_Berechnung!$H$2:$H$6,B27)</f>
        <v>0</v>
      </c>
      <c r="D27" s="4">
        <f>SUMIFS(TFT_Berechnung!$G$2:$G$6,TFT_Berechnung!$B$2:$B$6,$A27,TFT_Berechnung!$H$2:$H$6,B27)</f>
        <v>0</v>
      </c>
      <c r="E27" s="4">
        <f>IF(C27+D27&gt;0,COUNTIFS(Kalender!$F$2:$F$31,B27,Kalender!$C$2:$C$31,"Nein"),0)</f>
        <v>0</v>
      </c>
      <c r="F27" s="5">
        <f>IF(E27&gt;0,D27/E27,0)</f>
        <v>0</v>
      </c>
    </row>
    <row r="28" spans="1:6" ht="18" customHeight="1">
      <c r="A28" s="3" t="s">
        <v>19</v>
      </c>
      <c r="B28" s="4">
        <v>3</v>
      </c>
      <c r="C28" s="4">
        <f>SUMIFS(TFT_Berechnung!$F$2:$F$6,TFT_Berechnung!$B$2:$B$6,$A28,TFT_Berechnung!$H$2:$H$6,B28)</f>
        <v>0</v>
      </c>
      <c r="D28" s="4">
        <f>SUMIFS(TFT_Berechnung!$G$2:$G$6,TFT_Berechnung!$B$2:$B$6,$A28,TFT_Berechnung!$H$2:$H$6,B28)</f>
        <v>0</v>
      </c>
      <c r="E28" s="4">
        <f>IF(C28+D28&gt;0,COUNTIFS(Kalender!$F$2:$F$31,B28,Kalender!$C$2:$C$31,"Nein"),0)</f>
        <v>0</v>
      </c>
      <c r="F28" s="5">
        <f>IF(E28&gt;0,D28/E28,0)</f>
        <v>0</v>
      </c>
    </row>
    <row r="29" spans="1:6" ht="18" customHeight="1">
      <c r="A29" s="3" t="s">
        <v>19</v>
      </c>
      <c r="B29" s="4">
        <v>4</v>
      </c>
      <c r="C29" s="4">
        <f>SUMIFS(TFT_Berechnung!$F$2:$F$6,TFT_Berechnung!$B$2:$B$6,$A29,TFT_Berechnung!$H$2:$H$6,B29)</f>
        <v>0</v>
      </c>
      <c r="D29" s="4">
        <f>SUMIFS(TFT_Berechnung!$G$2:$G$6,TFT_Berechnung!$B$2:$B$6,$A29,TFT_Berechnung!$H$2:$H$6,B29)</f>
        <v>0</v>
      </c>
      <c r="E29" s="4">
        <f>IF(C29+D29&gt;0,COUNTIFS(Kalender!$F$2:$F$31,B29,Kalender!$C$2:$C$31,"Nein"),0)</f>
        <v>0</v>
      </c>
      <c r="F29" s="5">
        <f>IF(E29&gt;0,D29/E29,0)</f>
        <v>0</v>
      </c>
    </row>
    <row r="30" spans="1:6" ht="18" customHeight="1">
      <c r="A30" s="3" t="s">
        <v>19</v>
      </c>
      <c r="B30" s="4">
        <v>5</v>
      </c>
      <c r="C30" s="4">
        <f>SUMIFS(TFT_Berechnung!$F$2:$F$6,TFT_Berechnung!$B$2:$B$6,$A30,TFT_Berechnung!$H$2:$H$6,B30)</f>
        <v>0</v>
      </c>
      <c r="D30" s="4">
        <f>SUMIFS(TFT_Berechnung!$G$2:$G$6,TFT_Berechnung!$B$2:$B$6,$A30,TFT_Berechnung!$H$2:$H$6,B30)</f>
        <v>0</v>
      </c>
      <c r="E30" s="4">
        <f>IF(C30+D30&gt;0,COUNTIFS(Kalender!$F$2:$F$31,B30,Kalender!$C$2:$C$31,"Nein"),0)</f>
        <v>0</v>
      </c>
      <c r="F30" s="5">
        <f>IF(E30&gt;0,D30/E30,0)</f>
        <v>0</v>
      </c>
    </row>
    <row r="31" spans="1:6" ht="18" customHeight="1">
      <c r="A31" s="3" t="s">
        <v>19</v>
      </c>
      <c r="B31" s="4">
        <v>6</v>
      </c>
      <c r="C31" s="4">
        <f>SUMIFS(TFT_Berechnung!$F$2:$F$6,TFT_Berechnung!$B$2:$B$6,$A31,TFT_Berechnung!$H$2:$H$6,B31)</f>
        <v>1</v>
      </c>
      <c r="D31" s="4">
        <f>SUMIFS(TFT_Berechnung!$G$2:$G$6,TFT_Berechnung!$B$2:$B$6,$A31,TFT_Berechnung!$H$2:$H$6,B31)</f>
        <v>1</v>
      </c>
      <c r="E31" s="4">
        <f>IF(C31+D31&gt;0,COUNTIFS(Kalender!$F$2:$F$31,B31,Kalender!$C$2:$C$31,"Nein"),0)</f>
        <v>22</v>
      </c>
      <c r="F31" s="5">
        <f>IF(E31&gt;0,D31/E31,0)</f>
        <v>4.5454545454545456E-2</v>
      </c>
    </row>
    <row r="32" spans="1:6" ht="18" customHeight="1">
      <c r="A32" s="3" t="s">
        <v>19</v>
      </c>
      <c r="B32" s="4">
        <v>7</v>
      </c>
      <c r="C32" s="4">
        <f>SUMIFS(TFT_Berechnung!$F$2:$F$6,TFT_Berechnung!$B$2:$B$6,$A32,TFT_Berechnung!$H$2:$H$6,B32)</f>
        <v>0</v>
      </c>
      <c r="D32" s="4">
        <f>SUMIFS(TFT_Berechnung!$G$2:$G$6,TFT_Berechnung!$B$2:$B$6,$A32,TFT_Berechnung!$H$2:$H$6,B32)</f>
        <v>0</v>
      </c>
      <c r="E32" s="4">
        <f>IF(C32+D32&gt;0,COUNTIFS(Kalender!$F$2:$F$31,B32,Kalender!$C$2:$C$31,"Nein"),0)</f>
        <v>0</v>
      </c>
      <c r="F32" s="5">
        <f>IF(E32&gt;0,D32/E32,0)</f>
        <v>0</v>
      </c>
    </row>
    <row r="33" spans="1:6" ht="18" customHeight="1">
      <c r="A33" s="3" t="s">
        <v>19</v>
      </c>
      <c r="B33" s="4">
        <v>8</v>
      </c>
      <c r="C33" s="4">
        <f>SUMIFS(TFT_Berechnung!$F$2:$F$6,TFT_Berechnung!$B$2:$B$6,$A33,TFT_Berechnung!$H$2:$H$6,B33)</f>
        <v>0</v>
      </c>
      <c r="D33" s="4">
        <f>SUMIFS(TFT_Berechnung!$G$2:$G$6,TFT_Berechnung!$B$2:$B$6,$A33,TFT_Berechnung!$H$2:$H$6,B33)</f>
        <v>0</v>
      </c>
      <c r="E33" s="4">
        <f>IF(C33+D33&gt;0,COUNTIFS(Kalender!$F$2:$F$31,B33,Kalender!$C$2:$C$31,"Nein"),0)</f>
        <v>0</v>
      </c>
      <c r="F33" s="5">
        <f>IF(E33&gt;0,D33/E33,0)</f>
        <v>0</v>
      </c>
    </row>
    <row r="34" spans="1:6" ht="18" customHeight="1">
      <c r="A34" s="3" t="s">
        <v>19</v>
      </c>
      <c r="B34" s="4">
        <v>9</v>
      </c>
      <c r="C34" s="4">
        <f>SUMIFS(TFT_Berechnung!$F$2:$F$6,TFT_Berechnung!$B$2:$B$6,$A34,TFT_Berechnung!$H$2:$H$6,B34)</f>
        <v>0</v>
      </c>
      <c r="D34" s="4">
        <f>SUMIFS(TFT_Berechnung!$G$2:$G$6,TFT_Berechnung!$B$2:$B$6,$A34,TFT_Berechnung!$H$2:$H$6,B34)</f>
        <v>0</v>
      </c>
      <c r="E34" s="4">
        <f>IF(C34+D34&gt;0,COUNTIFS(Kalender!$F$2:$F$31,B34,Kalender!$C$2:$C$31,"Nein"),0)</f>
        <v>0</v>
      </c>
      <c r="F34" s="5">
        <f>IF(E34&gt;0,D34/E34,0)</f>
        <v>0</v>
      </c>
    </row>
    <row r="35" spans="1:6" ht="18" customHeight="1">
      <c r="A35" s="3" t="s">
        <v>19</v>
      </c>
      <c r="B35" s="4">
        <v>10</v>
      </c>
      <c r="C35" s="4">
        <f>SUMIFS(TFT_Berechnung!$F$2:$F$6,TFT_Berechnung!$B$2:$B$6,$A35,TFT_Berechnung!$H$2:$H$6,B35)</f>
        <v>0</v>
      </c>
      <c r="D35" s="4">
        <f>SUMIFS(TFT_Berechnung!$G$2:$G$6,TFT_Berechnung!$B$2:$B$6,$A35,TFT_Berechnung!$H$2:$H$6,B35)</f>
        <v>0</v>
      </c>
      <c r="E35" s="4">
        <f>IF(C35+D35&gt;0,COUNTIFS(Kalender!$F$2:$F$31,B35,Kalender!$C$2:$C$31,"Nein"),0)</f>
        <v>0</v>
      </c>
      <c r="F35" s="5">
        <f>IF(E35&gt;0,D35/E35,0)</f>
        <v>0</v>
      </c>
    </row>
    <row r="36" spans="1:6" ht="18" customHeight="1">
      <c r="A36" s="3" t="s">
        <v>19</v>
      </c>
      <c r="B36" s="4">
        <v>11</v>
      </c>
      <c r="C36" s="4">
        <f>SUMIFS(TFT_Berechnung!$F$2:$F$6,TFT_Berechnung!$B$2:$B$6,$A36,TFT_Berechnung!$H$2:$H$6,B36)</f>
        <v>0</v>
      </c>
      <c r="D36" s="4">
        <f>SUMIFS(TFT_Berechnung!$G$2:$G$6,TFT_Berechnung!$B$2:$B$6,$A36,TFT_Berechnung!$H$2:$H$6,B36)</f>
        <v>0</v>
      </c>
      <c r="E36" s="4">
        <f>IF(C36+D36&gt;0,COUNTIFS(Kalender!$F$2:$F$31,B36,Kalender!$C$2:$C$31,"Nein"),0)</f>
        <v>0</v>
      </c>
      <c r="F36" s="5">
        <f>IF(E36&gt;0,D36/E36,0)</f>
        <v>0</v>
      </c>
    </row>
    <row r="37" spans="1:6" ht="18" customHeight="1">
      <c r="A37" s="3" t="s">
        <v>19</v>
      </c>
      <c r="B37" s="4">
        <v>12</v>
      </c>
      <c r="C37" s="4">
        <f>SUMIFS(TFT_Berechnung!$F$2:$F$6,TFT_Berechnung!$B$2:$B$6,$A37,TFT_Berechnung!$H$2:$H$6,B37)</f>
        <v>0</v>
      </c>
      <c r="D37" s="4">
        <f>SUMIFS(TFT_Berechnung!$G$2:$G$6,TFT_Berechnung!$B$2:$B$6,$A37,TFT_Berechnung!$H$2:$H$6,B37)</f>
        <v>0</v>
      </c>
      <c r="E37" s="4">
        <f>IF(C37+D37&gt;0,COUNTIFS(Kalender!$F$2:$F$31,B37,Kalender!$C$2:$C$31,"Nein"),0)</f>
        <v>0</v>
      </c>
      <c r="F37" s="5">
        <f>IF(E37&gt;0,D37/E37,0)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"/>
  <sheetViews>
    <sheetView zoomScaleNormal="100" zoomScaleSheetLayoutView="100" workbookViewId="0"/>
  </sheetViews>
  <sheetFormatPr defaultRowHeight="15"/>
  <cols>
    <col min="1" max="1" width="13.125" customWidth="1"/>
    <col min="2" max="2" width="11" customWidth="1"/>
    <col min="3" max="4" width="9.375" customWidth="1"/>
    <col min="5" max="5" width="12.375" customWidth="1"/>
    <col min="6" max="6" width="14.875" customWidth="1"/>
    <col min="7" max="7" width="11.75" customWidth="1"/>
    <col min="8" max="8" width="11.125" customWidth="1"/>
    <col min="9" max="9" width="11.25" customWidth="1"/>
    <col min="10" max="10" width="10.375" customWidth="1"/>
    <col min="11" max="11" width="12.875" customWidth="1"/>
    <col min="12" max="12" width="10.25" customWidth="1"/>
  </cols>
  <sheetData>
    <row r="1" spans="1:12" ht="18" customHeight="1">
      <c r="A1" s="2" t="s">
        <v>51</v>
      </c>
      <c r="B1" s="2" t="s">
        <v>8</v>
      </c>
      <c r="C1" s="2" t="s">
        <v>11</v>
      </c>
      <c r="D1" s="2" t="s">
        <v>12</v>
      </c>
      <c r="E1" s="2" t="s">
        <v>10</v>
      </c>
      <c r="F1" s="2" t="s">
        <v>45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13</v>
      </c>
      <c r="L1" s="2" t="s">
        <v>14</v>
      </c>
    </row>
    <row r="2" spans="1:12" ht="18" customHeight="1">
      <c r="A2" s="4">
        <f>Abwesenheiten!B2</f>
        <v>1</v>
      </c>
      <c r="B2" s="3" t="str">
        <f>Abwesenheiten!A2</f>
        <v>E001</v>
      </c>
      <c r="C2" s="1" t="str">
        <f>K2</f>
        <v>02.06.2020</v>
      </c>
      <c r="D2" s="1" t="str">
        <f>L2</f>
        <v>03.06.2020</v>
      </c>
      <c r="E2" s="3" t="str">
        <f>Abwesenheiten!C2</f>
        <v>KRANK</v>
      </c>
      <c r="F2" s="4">
        <f>TFT_Berechnung!F2</f>
        <v>2</v>
      </c>
      <c r="G2" s="4">
        <f>DATE(VALUE(RIGHT(L2,4)),VALUE(MID(L2,4,2)),VALUE(LEFT(L2,2)))-DATE(VALUE(RIGHT(K2,4)),VALUE(MID(K2,4,2)),VALUE(LEFT(K2,2)))+1</f>
        <v>2</v>
      </c>
      <c r="H2" s="4">
        <v>1</v>
      </c>
      <c r="I2" s="4">
        <f>DAY(DATE(VALUE(RIGHT(K2,4)),VALUE(MID(K2,4,2)),VALUE(LEFT(K2,2))))</f>
        <v>2</v>
      </c>
      <c r="J2" s="4">
        <f>DAY(DATE(VALUE(RIGHT(L2,4)),VALUE(MID(L2,4,2)),VALUE(LEFT(L2,2))))</f>
        <v>3</v>
      </c>
      <c r="K2" s="1" t="str">
        <f>Abwesenheiten!F2</f>
        <v>02.06.2020</v>
      </c>
      <c r="L2" s="1" t="str">
        <f>Abwesenheiten!G2</f>
        <v>03.06.2020</v>
      </c>
    </row>
    <row r="3" spans="1:12" ht="18" customHeight="1">
      <c r="A3" s="4">
        <f>Abwesenheiten!B3</f>
        <v>2</v>
      </c>
      <c r="B3" s="3" t="str">
        <f>Abwesenheiten!A3</f>
        <v>E001</v>
      </c>
      <c r="C3" s="1" t="str">
        <f>K3</f>
        <v>08.06.2020</v>
      </c>
      <c r="D3" s="1" t="str">
        <f>L3</f>
        <v>10.06.2020</v>
      </c>
      <c r="E3" s="3" t="str">
        <f>Abwesenheiten!C3</f>
        <v>KRANK</v>
      </c>
      <c r="F3" s="4">
        <f>TFT_Berechnung!F3</f>
        <v>3</v>
      </c>
      <c r="G3" s="4">
        <f>DATE(VALUE(RIGHT(L3,4)),VALUE(MID(L3,4,2)),VALUE(LEFT(L3,2)))-DATE(VALUE(RIGHT(K3,4)),VALUE(MID(K3,4,2)),VALUE(LEFT(K3,2)))+1</f>
        <v>3</v>
      </c>
      <c r="H3" s="4">
        <v>1</v>
      </c>
      <c r="I3" s="4">
        <f>DAY(DATE(VALUE(RIGHT(K3,4)),VALUE(MID(K3,4,2)),VALUE(LEFT(K3,2))))</f>
        <v>8</v>
      </c>
      <c r="J3" s="4">
        <f>DAY(DATE(VALUE(RIGHT(L3,4)),VALUE(MID(L3,4,2)),VALUE(LEFT(L3,2))))</f>
        <v>10</v>
      </c>
      <c r="K3" s="1" t="str">
        <f>Abwesenheiten!F3</f>
        <v>08.06.2020</v>
      </c>
      <c r="L3" s="1" t="str">
        <f>Abwesenheiten!G3</f>
        <v>10.06.2020</v>
      </c>
    </row>
    <row r="4" spans="1:12" ht="18" customHeight="1">
      <c r="A4" s="4">
        <f>Abwesenheiten!B4</f>
        <v>3</v>
      </c>
      <c r="B4" s="3" t="str">
        <f>Abwesenheiten!A4</f>
        <v>E002</v>
      </c>
      <c r="C4" s="1" t="str">
        <f>K4</f>
        <v>05.06.2020</v>
      </c>
      <c r="D4" s="1" t="str">
        <f>L4</f>
        <v>05.06.2020</v>
      </c>
      <c r="E4" s="3" t="str">
        <f>Abwesenheiten!C4</f>
        <v>URLAUB</v>
      </c>
      <c r="F4" s="4">
        <f>TFT_Berechnung!F4</f>
        <v>1</v>
      </c>
      <c r="G4" s="4">
        <f>DATE(VALUE(RIGHT(L4,4)),VALUE(MID(L4,4,2)),VALUE(LEFT(L4,2)))-DATE(VALUE(RIGHT(K4,4)),VALUE(MID(K4,4,2)),VALUE(LEFT(K4,2)))+1</f>
        <v>1</v>
      </c>
      <c r="H4" s="4">
        <v>1</v>
      </c>
      <c r="I4" s="4">
        <f>DAY(DATE(VALUE(RIGHT(K4,4)),VALUE(MID(K4,4,2)),VALUE(LEFT(K4,2))))</f>
        <v>5</v>
      </c>
      <c r="J4" s="4">
        <f>DAY(DATE(VALUE(RIGHT(L4,4)),VALUE(MID(L4,4,2)),VALUE(LEFT(L4,2))))</f>
        <v>5</v>
      </c>
      <c r="K4" s="1" t="str">
        <f>Abwesenheiten!F4</f>
        <v>05.06.2020</v>
      </c>
      <c r="L4" s="1" t="str">
        <f>Abwesenheiten!G4</f>
        <v>05.06.2020</v>
      </c>
    </row>
    <row r="5" spans="1:12" ht="18" customHeight="1">
      <c r="A5" s="4">
        <f>Abwesenheiten!B5</f>
        <v>4</v>
      </c>
      <c r="B5" s="3" t="str">
        <f>Abwesenheiten!A5</f>
        <v>E002</v>
      </c>
      <c r="C5" s="1" t="str">
        <f>K5</f>
        <v>15.06.2020</v>
      </c>
      <c r="D5" s="1" t="str">
        <f>L5</f>
        <v>17.06.2020</v>
      </c>
      <c r="E5" s="3" t="str">
        <f>Abwesenheiten!C5</f>
        <v>KRANK</v>
      </c>
      <c r="F5" s="4">
        <f>TFT_Berechnung!F5</f>
        <v>3</v>
      </c>
      <c r="G5" s="4">
        <f>DATE(VALUE(RIGHT(L5,4)),VALUE(MID(L5,4,2)),VALUE(LEFT(L5,2)))-DATE(VALUE(RIGHT(K5,4)),VALUE(MID(K5,4,2)),VALUE(LEFT(K5,2)))+1</f>
        <v>3</v>
      </c>
      <c r="H5" s="4">
        <v>1</v>
      </c>
      <c r="I5" s="4">
        <f>DAY(DATE(VALUE(RIGHT(K5,4)),VALUE(MID(K5,4,2)),VALUE(LEFT(K5,2))))</f>
        <v>15</v>
      </c>
      <c r="J5" s="4">
        <f>DAY(DATE(VALUE(RIGHT(L5,4)),VALUE(MID(L5,4,2)),VALUE(LEFT(L5,2))))</f>
        <v>17</v>
      </c>
      <c r="K5" s="1" t="str">
        <f>Abwesenheiten!F5</f>
        <v>15.06.2020</v>
      </c>
      <c r="L5" s="1" t="str">
        <f>Abwesenheiten!G5</f>
        <v>17.06.2020</v>
      </c>
    </row>
    <row r="6" spans="1:12" ht="18" customHeight="1">
      <c r="A6" s="4">
        <f>Abwesenheiten!B6</f>
        <v>5</v>
      </c>
      <c r="B6" s="3" t="str">
        <f>Abwesenheiten!A6</f>
        <v>E003</v>
      </c>
      <c r="C6" s="1" t="str">
        <f>K6</f>
        <v>26.06.2020</v>
      </c>
      <c r="D6" s="1" t="str">
        <f>L6</f>
        <v>26.06.2020</v>
      </c>
      <c r="E6" s="3" t="str">
        <f>Abwesenheiten!C6</f>
        <v>KRANK</v>
      </c>
      <c r="F6" s="4">
        <f>TFT_Berechnung!F6</f>
        <v>1</v>
      </c>
      <c r="G6" s="4">
        <f>DATE(VALUE(RIGHT(L6,4)),VALUE(MID(L6,4,2)),VALUE(LEFT(L6,2)))-DATE(VALUE(RIGHT(K6,4)),VALUE(MID(K6,4,2)),VALUE(LEFT(K6,2)))+1</f>
        <v>1</v>
      </c>
      <c r="H6" s="4">
        <v>1</v>
      </c>
      <c r="I6" s="4">
        <f>DAY(DATE(VALUE(RIGHT(K6,4)),VALUE(MID(K6,4,2)),VALUE(LEFT(K6,2))))</f>
        <v>26</v>
      </c>
      <c r="J6" s="4">
        <f>DAY(DATE(VALUE(RIGHT(L6,4)),VALUE(MID(L6,4,2)),VALUE(LEFT(L6,2))))</f>
        <v>26</v>
      </c>
      <c r="K6" s="1" t="str">
        <f>Abwesenheiten!F6</f>
        <v>26.06.2020</v>
      </c>
      <c r="L6" s="1" t="str">
        <f>Abwesenheiten!G6</f>
        <v>26.06.2020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zoomScaleNormal="100" zoomScaleSheetLayoutView="100" workbookViewId="0"/>
  </sheetViews>
  <sheetFormatPr defaultRowHeight="15"/>
  <cols>
    <col min="1" max="3" width="14" customWidth="1"/>
    <col min="4" max="4" width="16" customWidth="1"/>
  </cols>
  <sheetData>
    <row r="1" spans="1:4" ht="18" customHeight="1">
      <c r="A1" s="2" t="s">
        <v>1</v>
      </c>
      <c r="B1" s="2" t="s">
        <v>49</v>
      </c>
      <c r="C1" s="2" t="s">
        <v>48</v>
      </c>
      <c r="D1" s="2" t="s">
        <v>56</v>
      </c>
    </row>
    <row r="2" spans="1:4" ht="18" customHeight="1">
      <c r="A2" s="3" t="s">
        <v>57</v>
      </c>
      <c r="B2" s="4">
        <f>COUNTA(Dim_Mitarbeiter!$A$2:$A$4)*COUNTIFS(Kalender!$B$2:$B$31,A2,Kalender!$C$2:$C$31,"Nein")</f>
        <v>15</v>
      </c>
      <c r="C2" s="4">
        <f>SUMIFS(TFT!$F$2:$F$11,TFT!$C$2:$C$11,A2)</f>
        <v>2</v>
      </c>
      <c r="D2" s="5">
        <f>IF(B2&gt;0,C2/B2,0)</f>
        <v>0.13333333333333333</v>
      </c>
    </row>
    <row r="3" spans="1:4" ht="18" customHeight="1">
      <c r="A3" s="3" t="s">
        <v>58</v>
      </c>
      <c r="B3" s="4">
        <f>COUNTA(Dim_Mitarbeiter!$A$2:$A$4)*COUNTIFS(Kalender!$B$2:$B$31,A3,Kalender!$C$2:$C$31,"Nein")</f>
        <v>15</v>
      </c>
      <c r="C3" s="4">
        <f>SUMIFS(TFT!$F$2:$F$11,TFT!$C$2:$C$11,A3)</f>
        <v>3</v>
      </c>
      <c r="D3" s="5">
        <f>IF(B3&gt;0,C3/B3,0)</f>
        <v>0.2</v>
      </c>
    </row>
    <row r="4" spans="1:4" ht="18" customHeight="1">
      <c r="A4" s="3" t="s">
        <v>59</v>
      </c>
      <c r="B4" s="4">
        <f>COUNTA(Dim_Mitarbeiter!$A$2:$A$4)*COUNTIFS(Kalender!$B$2:$B$31,A4,Kalender!$C$2:$C$31,"Nein")</f>
        <v>12</v>
      </c>
      <c r="C4" s="4">
        <f>SUMIFS(TFT!$F$2:$F$11,TFT!$C$2:$C$11,A4)</f>
        <v>3</v>
      </c>
      <c r="D4" s="5">
        <f>IF(B4&gt;0,C4/B4,0)</f>
        <v>0.25</v>
      </c>
    </row>
    <row r="5" spans="1:4" ht="18" customHeight="1">
      <c r="A5" s="3" t="s">
        <v>60</v>
      </c>
      <c r="B5" s="4">
        <f>COUNTA(Dim_Mitarbeiter!$A$2:$A$4)*COUNTIFS(Kalender!$B$2:$B$31,A5,Kalender!$C$2:$C$31,"Nein")</f>
        <v>12</v>
      </c>
      <c r="C5" s="4">
        <f>SUMIFS(TFT!$F$2:$F$11,TFT!$C$2:$C$11,A5)</f>
        <v>0</v>
      </c>
      <c r="D5" s="5">
        <f>IF(B5&gt;0,C5/B5,0)</f>
        <v>0</v>
      </c>
    </row>
    <row r="6" spans="1:4" ht="18" customHeight="1">
      <c r="A6" s="3" t="s">
        <v>61</v>
      </c>
      <c r="B6" s="4">
        <f>COUNTA(Dim_Mitarbeiter!$A$2:$A$4)*COUNTIFS(Kalender!$B$2:$B$31,A6,Kalender!$C$2:$C$31,"Nein")</f>
        <v>12</v>
      </c>
      <c r="C6" s="4">
        <f>SUMIFS(TFT!$F$2:$F$11,TFT!$C$2:$C$11,A6)</f>
        <v>1</v>
      </c>
      <c r="D6" s="5">
        <f>IF(B6&gt;0,C6/B6,0)</f>
        <v>8.3333333333333329E-2</v>
      </c>
    </row>
    <row r="7" spans="1:4" ht="18" customHeight="1">
      <c r="A7" s="3" t="s">
        <v>62</v>
      </c>
      <c r="B7" s="4">
        <f>COUNTA(Dim_Mitarbeiter!$A$2:$A$4)*COUNTIFS(Kalender!$B$2:$B$31,A7,Kalender!$C$2:$C$31,"Nein")</f>
        <v>0</v>
      </c>
      <c r="C7" s="4">
        <f>SUMIFS(TFT!$F$2:$F$11,TFT!$C$2:$C$11,A7)</f>
        <v>0</v>
      </c>
      <c r="D7" s="5">
        <f>IF(B7&gt;0,C7/B7,0)</f>
        <v>0</v>
      </c>
    </row>
    <row r="8" spans="1:4" ht="18" customHeight="1">
      <c r="A8" s="3" t="s">
        <v>63</v>
      </c>
      <c r="B8" s="4">
        <f>COUNTA(Dim_Mitarbeiter!$A$2:$A$4)*COUNTIFS(Kalender!$B$2:$B$31,A8,Kalender!$C$2:$C$31,"Nein")</f>
        <v>0</v>
      </c>
      <c r="C8" s="4">
        <f>SUMIFS(TFT!$F$2:$F$11,TFT!$C$2:$C$11,A8)</f>
        <v>0</v>
      </c>
      <c r="D8" s="5">
        <f>IF(B8&gt;0,C8/B8,0)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2026-04-30T14:12:43Z</dcterms:created>
  <dcterms:modified xsi:type="dcterms:W3CDTF">2026-04-30T14:13:54Z</dcterms:modified>
  <cp:category/>
  <cp:contentStatus/>
</cp:coreProperties>
</file>